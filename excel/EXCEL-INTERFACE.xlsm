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tables/table1.xml" ContentType="application/vnd.openxmlformats-officedocument.spreadsheetml.table+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mc:AlternateContent xmlns:mc="http://schemas.openxmlformats.org/markup-compatibility/2006">
    <mc:Choice Requires="x15">
      <x15ac:absPath xmlns:x15ac="http://schemas.microsoft.com/office/spreadsheetml/2010/11/ac" url="C:\Users\MBULINYOLO\Desktop\PROJET_TUTORE\excel\"/>
    </mc:Choice>
  </mc:AlternateContent>
  <bookViews>
    <workbookView xWindow="0" yWindow="0" windowWidth="19368" windowHeight="9072" activeTab="4"/>
  </bookViews>
  <sheets>
    <sheet name="ACCUEIL" sheetId="1" r:id="rId1"/>
    <sheet name="STRUCTURE" sheetId="2" r:id="rId2"/>
    <sheet name="CHARGES" sheetId="3" r:id="rId3"/>
    <sheet name="RESULTATS" sheetId="4" r:id="rId4"/>
    <sheet name="DIAGRAMMES" sheetId="5" r:id="rId5"/>
  </sheets>
  <functionGroups builtInGroupCount="18"/>
  <calcPr calcId="162913"/>
</workbook>
</file>

<file path=xl/calcChain.xml><?xml version="1.0" encoding="utf-8"?>
<calcChain xmlns="http://schemas.openxmlformats.org/spreadsheetml/2006/main">
  <c r="C19" i="5" l="1"/>
  <c r="C18" i="5"/>
  <c r="C20" i="5" s="1"/>
  <c r="H36" i="4"/>
  <c r="H35" i="4"/>
  <c r="H33" i="4"/>
  <c r="I41" i="3"/>
  <c r="H41" i="3"/>
  <c r="G41" i="3"/>
  <c r="F41" i="3"/>
  <c r="I40" i="3"/>
  <c r="H40" i="3"/>
  <c r="G40" i="3"/>
  <c r="F40" i="3"/>
  <c r="I39" i="3"/>
  <c r="H39" i="3"/>
  <c r="G39" i="3"/>
  <c r="F39" i="3"/>
  <c r="I38" i="3"/>
  <c r="H38" i="3"/>
  <c r="G38" i="3"/>
  <c r="F38" i="3"/>
  <c r="I37" i="3"/>
  <c r="H37" i="3"/>
  <c r="G37" i="3"/>
  <c r="F37" i="3"/>
  <c r="I36" i="3"/>
  <c r="H36" i="3"/>
  <c r="G36" i="3"/>
  <c r="F36" i="3"/>
  <c r="I35" i="3"/>
  <c r="H35" i="3"/>
  <c r="G35" i="3"/>
  <c r="F35" i="3"/>
  <c r="I34" i="3"/>
  <c r="H34" i="3"/>
  <c r="F34" i="3"/>
  <c r="G34" i="3" s="1"/>
  <c r="H28" i="3"/>
  <c r="G28" i="3"/>
  <c r="H27" i="3"/>
  <c r="G27" i="3"/>
  <c r="H26" i="3"/>
  <c r="G26" i="3"/>
  <c r="H25" i="3"/>
  <c r="G25" i="3"/>
  <c r="H24" i="3"/>
  <c r="G24" i="3"/>
  <c r="H23" i="3"/>
  <c r="G23" i="3"/>
  <c r="H22" i="3"/>
  <c r="G22" i="3"/>
  <c r="H21" i="3"/>
  <c r="G21" i="3"/>
  <c r="I14" i="3"/>
  <c r="I13" i="3"/>
  <c r="J29" i="2"/>
  <c r="I29" i="2"/>
  <c r="G29" i="2"/>
  <c r="F29" i="2"/>
  <c r="E29" i="2"/>
  <c r="J28" i="2"/>
  <c r="I28" i="2"/>
  <c r="G28" i="2"/>
  <c r="F28" i="2"/>
  <c r="E28" i="2"/>
  <c r="H28" i="2" s="1"/>
  <c r="J27" i="2"/>
  <c r="I27" i="2"/>
  <c r="G27" i="2"/>
  <c r="F27" i="2"/>
  <c r="E27" i="2"/>
  <c r="J26" i="2"/>
  <c r="I26" i="2"/>
  <c r="G26" i="2"/>
  <c r="F26" i="2"/>
  <c r="E26" i="2"/>
  <c r="H26" i="2" s="1"/>
  <c r="J25" i="2"/>
  <c r="I25" i="2"/>
  <c r="G25" i="2"/>
  <c r="F25" i="2"/>
  <c r="E25" i="2"/>
  <c r="J24" i="2"/>
  <c r="I24" i="2"/>
  <c r="G24" i="2"/>
  <c r="F24" i="2"/>
  <c r="E24" i="2"/>
  <c r="J23" i="2"/>
  <c r="I23" i="2"/>
  <c r="G23" i="2"/>
  <c r="F23" i="2"/>
  <c r="E23" i="2"/>
  <c r="J22" i="2"/>
  <c r="I22" i="2"/>
  <c r="G22" i="2"/>
  <c r="F22" i="2"/>
  <c r="E22" i="2"/>
  <c r="H22" i="2" s="1"/>
  <c r="J21" i="2"/>
  <c r="I21" i="2"/>
  <c r="G21" i="2"/>
  <c r="F21" i="2"/>
  <c r="E21" i="2"/>
  <c r="J20" i="2"/>
  <c r="I20" i="2"/>
  <c r="G20" i="2"/>
  <c r="F20" i="2"/>
  <c r="E20" i="2"/>
  <c r="C48" i="3" l="1"/>
  <c r="C47" i="3"/>
  <c r="I15" i="3"/>
  <c r="H34" i="4" s="1"/>
  <c r="H20" i="2"/>
  <c r="H21" i="2"/>
  <c r="H24" i="2"/>
  <c r="H23" i="2"/>
  <c r="H29" i="2"/>
  <c r="H27" i="2"/>
  <c r="H25" i="2"/>
  <c r="C35" i="2" s="1"/>
  <c r="C49" i="3" l="1"/>
  <c r="C14" i="4" s="1"/>
  <c r="I16" i="3"/>
  <c r="C38" i="2"/>
  <c r="C37" i="2"/>
  <c r="C13" i="4" s="1"/>
  <c r="C15" i="4" l="1"/>
</calcChain>
</file>

<file path=xl/sharedStrings.xml><?xml version="1.0" encoding="utf-8"?>
<sst xmlns="http://schemas.openxmlformats.org/spreadsheetml/2006/main" count="267" uniqueCount="175">
  <si>
    <t>OUTIL DE CALCUL DES STRUCTURES ISOSTATIQUES</t>
  </si>
  <si>
    <t>Accueil du moteur de calcul de poutres isostatiques 2D</t>
  </si>
  <si>
    <t>STRUCTURE</t>
  </si>
  <si>
    <t>Définition de la poutre, des appuis et vérification rapide de l’isostatisme</t>
  </si>
  <si>
    <t>1. DONNÉES GÉNÉRALES DE LA POUTRE</t>
  </si>
  <si>
    <t>Paramètre</t>
  </si>
  <si>
    <t>Valeur</t>
  </si>
  <si>
    <t>Unité</t>
  </si>
  <si>
    <t>Convention : x est mesuré depuis l’extrémité gauche. Les positions d’appui doivent être comprises entre 0 et L.</t>
  </si>
  <si>
    <t>Longueur de la poutre L</t>
  </si>
  <si>
    <t>m</t>
  </si>
  <si>
    <t>Nombre de points diagrammes</t>
  </si>
  <si>
    <t>-</t>
  </si>
  <si>
    <t>2. DÉFINITION DES APPUIS</t>
  </si>
  <si>
    <t>Nom</t>
  </si>
  <si>
    <t>Type d’appui</t>
  </si>
  <si>
    <t>Position x</t>
  </si>
  <si>
    <t>Rx ?</t>
  </si>
  <si>
    <t>Ry ?</t>
  </si>
  <si>
    <t>Moment ?</t>
  </si>
  <si>
    <t>Nb réactions</t>
  </si>
  <si>
    <t>Contrôle position</t>
  </si>
  <si>
    <t>Réactions générées</t>
  </si>
  <si>
    <t>A</t>
  </si>
  <si>
    <t>Rotule</t>
  </si>
  <si>
    <t>Rouleau</t>
  </si>
  <si>
    <t>3. CONTRÔLE AUTOMATIQUE DE L’ISOSTATISME</t>
  </si>
  <si>
    <t>Indicateur</t>
  </si>
  <si>
    <t>Interprétation</t>
  </si>
  <si>
    <t>Rappel :
• Rouleau : 1 réaction verticale Ry
• Rotule : 2 réactions Rx et Ry
• Encastrement : 3 réactions Rx, Ry et M
En 2D, une poutre isostatique doit avoir exactement 3 réactions inconnues.</t>
  </si>
  <si>
    <t>Nombre total de réactions inconnues</t>
  </si>
  <si>
    <t>Nombre d’équations d’équilibre 2D</t>
  </si>
  <si>
    <t>ΣFx = 0 ; ΣFy = 0 ; ΣM = 0</t>
  </si>
  <si>
    <t>Statut de la structure</t>
  </si>
  <si>
    <t>Message</t>
  </si>
  <si>
    <t>CHARGES</t>
  </si>
  <si>
    <t>Définition des forces ponctuelles et des charges réparties appliquées à la poutre.</t>
  </si>
  <si>
    <t>Convention de signe</t>
  </si>
  <si>
    <t>Résumé automatique des charges</t>
  </si>
  <si>
    <t>fx &gt; 0 : force vers la droite   |   fx &lt; 0 : force vers la gauche
fy &gt; 0 : force vers le haut     |   fy &lt; 0 : force vers le bas
q &lt; 0 : charge répartie descendante sur la poutre</t>
  </si>
  <si>
    <t>Remarque</t>
  </si>
  <si>
    <t>ΣFx ponctuelles</t>
  </si>
  <si>
    <t>kN</t>
  </si>
  <si>
    <t>Somme horizontale</t>
  </si>
  <si>
    <t>ΣFy ponctuelles</t>
  </si>
  <si>
    <t>Somme verticale</t>
  </si>
  <si>
    <t>Σ charges réparties</t>
  </si>
  <si>
    <t>Résultantes q × longueur</t>
  </si>
  <si>
    <t>Charge verticale totale</t>
  </si>
  <si>
    <t>Fy + résultantes</t>
  </si>
  <si>
    <t>1. FORCES PONCTUELLES</t>
  </si>
  <si>
    <t>fx</t>
  </si>
  <si>
    <t>fy</t>
  </si>
  <si>
    <t>Sens vertical</t>
  </si>
  <si>
    <t>Description / remarque</t>
  </si>
  <si>
    <t>2. CHARGES RÉPARTIES UNIFORMES</t>
  </si>
  <si>
    <t>q</t>
  </si>
  <si>
    <t>Début</t>
  </si>
  <si>
    <t>Fin</t>
  </si>
  <si>
    <t>Longueur chargée</t>
  </si>
  <si>
    <t>Résultante</t>
  </si>
  <si>
    <t>Position résultante</t>
  </si>
  <si>
    <t>Contrôle</t>
  </si>
  <si>
    <t>3. CONTRÔLE AUTOMATIQUE</t>
  </si>
  <si>
    <t>Élément contrôlé</t>
  </si>
  <si>
    <t>Résultat</t>
  </si>
  <si>
    <t>Explication</t>
  </si>
  <si>
    <t>Forces ponctuelles</t>
  </si>
  <si>
    <t>Chaque force doit avoir une position x comprise entre 0 et L.</t>
  </si>
  <si>
    <t>Charges réparties</t>
  </si>
  <si>
    <t>Chaque charge répartie doit vérifier : 0 ≤ début &lt; fin ≤ L.</t>
  </si>
  <si>
    <t>Statut général</t>
  </si>
  <si>
    <t>Le calcul peut être lancé seulement si les charges sont valides.</t>
  </si>
  <si>
    <t>RÉSULTATS DU CALCUL</t>
  </si>
  <si>
    <t>Synthèse des réactions d’appui, efforts internes et valeurs maximales générées par le moteur Python.</t>
  </si>
  <si>
    <t>1. ÉTAT DU CALCUL</t>
  </si>
  <si>
    <t>Interprétation / remarque</t>
  </si>
  <si>
    <t>Structure</t>
  </si>
  <si>
    <t>Doit être ISOSTATIQUE pour lancer le solveur.</t>
  </si>
  <si>
    <t>Charges</t>
  </si>
  <si>
    <t>Les positions et intervalles doivent être valides.</t>
  </si>
  <si>
    <t>État global</t>
  </si>
  <si>
    <t>Indique si le calcul peut être lancé.</t>
  </si>
  <si>
    <t>Source résultats</t>
  </si>
  <si>
    <t>Python / VBA</t>
  </si>
  <si>
    <t>Les cellules bleues ci-dessous sont destinées aux valeurs renvoyées par Python.</t>
  </si>
  <si>
    <t>2. RÉACTIONS D’APPUI</t>
  </si>
  <si>
    <t>3. VALEURS MAXIMALES</t>
  </si>
  <si>
    <t>Réaction</t>
  </si>
  <si>
    <t>Appui</t>
  </si>
  <si>
    <t>Grandeur</t>
  </si>
  <si>
    <t>Valeur max</t>
  </si>
  <si>
    <t>Nmax</t>
  </si>
  <si>
    <t>Ay</t>
  </si>
  <si>
    <t>Tmax</t>
  </si>
  <si>
    <t>kN.m</t>
  </si>
  <si>
    <t>Mmax</t>
  </si>
  <si>
    <t>|N|max</t>
  </si>
  <si>
    <t>|T|max</t>
  </si>
  <si>
    <t>|M|max</t>
  </si>
  <si>
    <t>4. EFFORTS INTERNES À UNE POSITION DONNÉE</t>
  </si>
  <si>
    <t>5. SYNTHÈSE RAPIDE</t>
  </si>
  <si>
    <t>Commentaire</t>
  </si>
  <si>
    <t>Lecture</t>
  </si>
  <si>
    <t>Position x demandée</t>
  </si>
  <si>
    <t>À saisir par l’utilisateur ou envoyé à Python.</t>
  </si>
  <si>
    <t>Longueur poutre</t>
  </si>
  <si>
    <t>Donnée issue de la feuille STRUCTURE.</t>
  </si>
  <si>
    <t>N(x)</t>
  </si>
  <si>
    <t>Effort normal à la section x.</t>
  </si>
  <si>
    <t>Somme Fy + résultantes q.</t>
  </si>
  <si>
    <t>T(x)</t>
  </si>
  <si>
    <t>Effort tranchant à la section x.</t>
  </si>
  <si>
    <t>Nombre d’appuis</t>
  </si>
  <si>
    <t>Appuis saisis dans STRUCTURE.</t>
  </si>
  <si>
    <t>M(x)</t>
  </si>
  <si>
    <t>Moment fléchissant à la section x.</t>
  </si>
  <si>
    <t>Utilisé pour générer N, T et M.</t>
  </si>
  <si>
    <t>6. ZONE DE SORTIE PYTHON / VBA</t>
  </si>
  <si>
    <t>Clé</t>
  </si>
  <si>
    <t>Description</t>
  </si>
  <si>
    <t>Réaction verticale à l’appui A</t>
  </si>
  <si>
    <t>Valeur maximale de N</t>
  </si>
  <si>
    <t>Réaction horizontale à l’appui A</t>
  </si>
  <si>
    <t>x_Nmax</t>
  </si>
  <si>
    <t>Position du maximum de N</t>
  </si>
  <si>
    <t>Réaction verticale à l’appui B</t>
  </si>
  <si>
    <t>Valeur maximale de T</t>
  </si>
  <si>
    <t>N_local</t>
  </si>
  <si>
    <t>Effort normal à x demandé</t>
  </si>
  <si>
    <t>x_Tmax</t>
  </si>
  <si>
    <t>Position du maximum de T</t>
  </si>
  <si>
    <t>T_local</t>
  </si>
  <si>
    <t>Effort tranchant à x demandé</t>
  </si>
  <si>
    <t>Valeur maximale de M</t>
  </si>
  <si>
    <t>M_local</t>
  </si>
  <si>
    <t>Moment fléchissant à x demandé</t>
  </si>
  <si>
    <t>x_Mmax</t>
  </si>
  <si>
    <t>Position du maximum de M</t>
  </si>
  <si>
    <t>x_local</t>
  </si>
  <si>
    <t>Position utilisée pour les efforts internes</t>
  </si>
  <si>
    <t>nb_points</t>
  </si>
  <si>
    <t>Nombre de points générés</t>
  </si>
  <si>
    <t>statut_python</t>
  </si>
  <si>
    <t>Message renvoyé par le solveur</t>
  </si>
  <si>
    <t>erreur</t>
  </si>
  <si>
    <t>Message d’erreur éventuel</t>
  </si>
  <si>
    <t>REMARQUE D’UTILISATION</t>
  </si>
  <si>
    <t>Cette feuille est pensée comme une interface de restitution. Dans la version finale, VBA lancera le script Python, récupérera les réactions, les efforts internes et les maxima, puis remplira automatiquement les cellules bleues. Les tableaux visibles permettent déjà de structurer proprement les résultats avant la génération des diagrammes.</t>
  </si>
  <si>
    <t>DIAGRAMMES MÉCANIQUES</t>
  </si>
  <si>
    <t>Visualisation des efforts internes N(x), T(x) et M(x) le long de la poutre.</t>
  </si>
  <si>
    <t>1. SCHÉMA SIMPLIFIÉ DE LA POUTRE</t>
  </si>
  <si>
    <t>A ─────────────── F1 ─────────────── q(x) ─────────────── B
0 m                                      x                                      L</t>
  </si>
  <si>
    <t>2. PARAMÈTRES DES DIAGRAMMES</t>
  </si>
  <si>
    <t>3. CONVENTIONS DE LECTURE</t>
  </si>
  <si>
    <t>Source</t>
  </si>
  <si>
    <t>N(x) : effort normal
T(x) : effort tranchant
M(x) : moment fléchissant
Les courbes sont générées à partir des valeurs renvoyées par Python/VBA.</t>
  </si>
  <si>
    <t>Longueur L</t>
  </si>
  <si>
    <t>Feuille STRUCTURE</t>
  </si>
  <si>
    <t>Nombre de points</t>
  </si>
  <si>
    <t>Pas Δx</t>
  </si>
  <si>
    <t>Calcul automatique</t>
  </si>
  <si>
    <t>4. DONNÉES SOURCES POUR LES GRAPHIQUES</t>
  </si>
  <si>
    <t>5. GRAPHIQUES AUTOMATIQUES</t>
  </si>
  <si>
    <t>x (m)</t>
  </si>
  <si>
    <t>N(x) kN</t>
  </si>
  <si>
    <t>T(x) kN</t>
  </si>
  <si>
    <t>M(x) kN.m</t>
  </si>
  <si>
    <t>NOTE : Les colonnes N(x), T(x) et M(x) sont destinées à être remplacées automatiquement par les valeurs calculées par Python. Les graphiques se mettront à jour dès que ces valeurs seront écrites dans le tableau.</t>
  </si>
  <si>
    <t>OK</t>
  </si>
  <si>
    <t>C</t>
  </si>
  <si>
    <t>Cy</t>
  </si>
  <si>
    <t>Cx</t>
  </si>
  <si>
    <t>G</t>
  </si>
  <si>
    <t>V</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</si>
</sst>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64" formatCode="0.000"/>
  </numFmts>
  <fonts count="24">
    <font>
      <sz val="11"/>
      <name val="Carlito"/>
    </font>
    <font>
      <sz val="11"/>
      <color rgb="FF111827"/>
      <name val="Carlito"/>
    </font>
    <font>
      <b/>
      <sz val="20"/>
      <color rgb="FFFFFFFF"/>
      <name val="Carlito"/>
    </font>
    <font>
      <b/>
      <sz val="12"/>
      <color rgb="FF111827"/>
      <name val="Carlito"/>
    </font>
    <font>
      <b/>
      <sz val="11"/>
      <color rgb="FFFFFFFF"/>
      <name val="Carlito"/>
    </font>
    <font>
      <b/>
      <sz val="22"/>
      <color rgb="FFFFFFFF"/>
      <name val="Carlito"/>
    </font>
    <font>
      <b/>
      <sz val="12"/>
      <color rgb="FFFFFFFF"/>
      <name val="Carlito"/>
    </font>
    <font>
      <b/>
      <sz val="11"/>
      <color rgb="FF111827"/>
      <name val="Carlito"/>
    </font>
    <font>
      <sz val="11"/>
      <color rgb="FF111827"/>
      <name val="Calibri"/>
    </font>
    <font>
      <b/>
      <sz val="11"/>
      <color rgb="FF111827"/>
      <name val="Calibri"/>
    </font>
    <font>
      <b/>
      <sz val="22"/>
      <color rgb="FFFFFFFF"/>
      <name val="Calibri"/>
    </font>
    <font>
      <b/>
      <sz val="11"/>
      <color rgb="FFFFFFFF"/>
      <name val="Calibri"/>
    </font>
    <font>
      <b/>
      <sz val="13"/>
      <color rgb="FFFFFFFF"/>
      <name val="Calibri"/>
    </font>
    <font>
      <b/>
      <sz val="21"/>
      <color rgb="FFFFFFFF"/>
      <name val="Calibri"/>
    </font>
    <font>
      <sz val="12"/>
      <color rgb="FF111827"/>
      <name val="Calibri"/>
    </font>
    <font>
      <sz val="12"/>
      <color rgb="FF111827"/>
      <name val="Carlito"/>
    </font>
    <font>
      <b/>
      <sz val="13"/>
      <color rgb="FFFFFFFF"/>
      <name val="Carlito"/>
    </font>
    <font>
      <sz val="13"/>
      <color rgb="FF111827"/>
      <name val="Carlito"/>
    </font>
    <font>
      <sz val="11"/>
      <color rgb="FF111827"/>
      <name val="Carlito"/>
    </font>
    <font>
      <u/>
      <sz val="11"/>
      <color theme="10"/>
      <name val="Carlito"/>
    </font>
    <font>
      <b/>
      <sz val="20"/>
      <color rgb="FF111827"/>
      <name val="Calibri"/>
      <family val="2"/>
    </font>
    <font>
      <sz val="11"/>
      <color rgb="FF111827"/>
      <name val="Calibri"/>
      <family val="2"/>
    </font>
    <font>
      <sz val="15"/>
      <color theme="0"/>
      <name val="Carlito"/>
    </font>
    <font>
      <b/>
      <sz val="15"/>
      <color theme="0"/>
      <name val="Calibri"/>
      <family val="2"/>
    </font>
  </fonts>
  <fills count="34">
    <fill>
      <patternFill patternType="none"/>
    </fill>
    <fill>
      <patternFill patternType="gray125"/>
    </fill>
    <fill>
      <patternFill patternType="solid">
        <fgColor rgb="FFF4F7FB"/>
      </patternFill>
    </fill>
    <fill>
      <patternFill patternType="solid">
        <fgColor rgb="FF173B57"/>
      </patternFill>
    </fill>
    <fill>
      <patternFill patternType="solid">
        <fgColor rgb="FFDBEAFE"/>
      </patternFill>
    </fill>
    <fill>
      <patternFill patternType="solid">
        <fgColor rgb="FFFFFFFF"/>
      </patternFill>
    </fill>
    <fill>
      <patternFill patternType="solid">
        <fgColor rgb="FFE5E7EB"/>
      </patternFill>
    </fill>
    <fill>
      <patternFill patternType="solid">
        <fgColor rgb="FFFFF7ED"/>
      </patternFill>
    </fill>
    <fill>
      <patternFill patternType="solid">
        <fgColor rgb="FFF4F7FB"/>
      </patternFill>
    </fill>
    <fill>
      <patternFill patternType="solid">
        <fgColor rgb="FF173B57"/>
      </patternFill>
    </fill>
    <fill>
      <patternFill patternType="solid">
        <fgColor rgb="FFDBEAFE"/>
      </patternFill>
    </fill>
    <fill>
      <patternFill patternType="solid">
        <fgColor rgb="FF2563EB"/>
      </patternFill>
    </fill>
    <fill>
      <patternFill patternType="solid">
        <fgColor rgb="FFF97316"/>
      </patternFill>
    </fill>
    <fill>
      <patternFill patternType="solid">
        <fgColor rgb="FF16A34A"/>
      </patternFill>
    </fill>
    <fill>
      <patternFill patternType="solid">
        <fgColor rgb="FFFFFFFF"/>
      </patternFill>
    </fill>
    <fill>
      <patternFill patternType="solid">
        <fgColor rgb="FFEFF6FF"/>
      </patternFill>
    </fill>
    <fill>
      <patternFill patternType="solid">
        <fgColor rgb="FFF8FAFC"/>
      </patternFill>
    </fill>
    <fill>
      <patternFill patternType="solid">
        <fgColor rgb="FFECFDF5"/>
      </patternFill>
    </fill>
    <fill>
      <patternFill patternType="solid">
        <fgColor rgb="FFF4F7FB"/>
      </patternFill>
    </fill>
    <fill>
      <patternFill patternType="solid">
        <fgColor rgb="FF173B57"/>
      </patternFill>
    </fill>
    <fill>
      <patternFill patternType="solid">
        <fgColor rgb="FFDBEAFE"/>
      </patternFill>
    </fill>
    <fill>
      <patternFill patternType="solid">
        <fgColor rgb="FFF97316"/>
      </patternFill>
    </fill>
    <fill>
      <patternFill patternType="solid">
        <fgColor rgb="FF7C3AED"/>
      </patternFill>
    </fill>
    <fill>
      <patternFill patternType="solid">
        <fgColor rgb="FF2563EB"/>
      </patternFill>
    </fill>
    <fill>
      <patternFill patternType="solid">
        <fgColor rgb="FFFFFFFF"/>
      </patternFill>
    </fill>
    <fill>
      <patternFill patternType="solid">
        <fgColor rgb="FFE0F2FE"/>
      </patternFill>
    </fill>
    <fill>
      <patternFill patternType="solid">
        <fgColor rgb="FF16A34A"/>
      </patternFill>
    </fill>
    <fill>
      <patternFill patternType="solid">
        <fgColor rgb="FFF8FAFC"/>
      </patternFill>
    </fill>
    <fill>
      <patternFill patternType="solid">
        <fgColor rgb="FFF4F7FB"/>
      </patternFill>
    </fill>
    <fill>
      <patternFill patternType="solid">
        <fgColor rgb="FF173B57"/>
      </patternFill>
    </fill>
    <fill>
      <patternFill patternType="solid">
        <fgColor rgb="FFDBEAFE"/>
      </patternFill>
    </fill>
    <fill>
      <patternFill patternType="solid">
        <fgColor rgb="FF2563EB"/>
      </patternFill>
    </fill>
    <fill>
      <patternFill patternType="solid">
        <fgColor rgb="FFFFFFFF"/>
      </patternFill>
    </fill>
    <fill>
      <patternFill patternType="solid">
        <fgColor theme="0"/>
        <bgColor indexed="64"/>
      </patternFill>
    </fill>
  </fills>
  <borders count="23">
    <border>
      <left/>
      <right/>
      <top/>
      <bottom/>
      <diagonal/>
    </border>
    <border>
      <left/>
      <right/>
      <top/>
      <bottom/>
      <diagonal/>
    </border>
    <border>
      <left/>
      <right/>
      <top/>
      <bottom/>
      <diagonal/>
    </border>
    <border>
      <left/>
      <right/>
      <top/>
      <bottom/>
      <diagonal/>
    </border>
    <border>
      <left/>
      <right/>
      <top/>
      <bottom/>
      <diagonal/>
    </border>
    <border>
      <left/>
      <right/>
      <top/>
      <bottom/>
      <diagonal/>
    </border>
    <border>
      <left/>
      <right/>
      <top/>
      <bottom/>
      <diagonal/>
    </border>
    <border>
      <left/>
      <right/>
      <top/>
      <bottom/>
      <diagonal/>
    </border>
    <border>
      <left/>
      <right/>
      <top/>
      <bottom/>
      <diagonal/>
    </border>
    <border>
      <left/>
      <right/>
      <top/>
      <bottom/>
      <diagonal/>
    </border>
    <border>
      <left/>
      <right/>
      <top/>
      <bottom/>
      <diagonal/>
    </border>
    <border>
      <left/>
      <right/>
      <top/>
      <bottom/>
      <diagonal/>
    </border>
    <border>
      <left/>
      <right/>
      <top/>
      <bottom/>
      <diagonal/>
    </border>
    <border>
      <left/>
      <right/>
      <top/>
      <bottom/>
      <diagonal/>
    </border>
    <border>
      <left/>
      <right/>
      <top/>
      <bottom/>
      <diagonal/>
    </border>
    <border>
      <left/>
      <right/>
      <top/>
      <bottom/>
      <diagonal/>
    </border>
    <border>
      <left/>
      <right/>
      <top/>
      <bottom/>
      <diagonal/>
    </border>
    <border>
      <left/>
      <right/>
      <top/>
      <bottom/>
      <diagonal/>
    </border>
    <border>
      <left/>
      <right/>
      <top/>
      <bottom/>
      <diagonal/>
    </border>
    <border>
      <left/>
      <right/>
      <top/>
      <bottom/>
      <diagonal/>
    </border>
    <border>
      <left/>
      <right/>
      <top/>
      <bottom/>
      <diagonal/>
    </border>
    <border>
      <left/>
      <right/>
      <top/>
      <bottom/>
      <diagonal/>
    </border>
    <border>
      <left/>
      <right/>
      <top/>
      <bottom/>
      <diagonal/>
    </border>
  </borders>
  <cellStyleXfs count="2">
    <xf numFmtId="0" fontId="0" fillId="0" borderId="0"/>
    <xf numFmtId="0" fontId="19" fillId="0" borderId="0" applyNumberFormat="0" applyFill="0" applyBorder="0" applyAlignment="0" applyProtection="0"/>
  </cellStyleXfs>
  <cellXfs count="134">
    <xf numFmtId="0" fontId="0" fillId="0" borderId="0" xfId="0"/>
    <xf numFmtId="0" fontId="1" fillId="2" borderId="0" xfId="0" applyNumberFormat="1" applyFont="1" applyFill="1" applyBorder="1"/>
    <xf numFmtId="0" fontId="4" fillId="3" borderId="0" xfId="0" applyNumberFormat="1" applyFont="1" applyFill="1" applyBorder="1"/>
    <xf numFmtId="0" fontId="4" fillId="3" borderId="0" xfId="0" applyNumberFormat="1" applyFont="1" applyFill="1" applyBorder="1" applyAlignment="1">
      <alignment horizontal="center"/>
    </xf>
    <xf numFmtId="0" fontId="7" fillId="4" borderId="0" xfId="0" applyNumberFormat="1" applyFont="1" applyFill="1" applyBorder="1" applyAlignment="1">
      <alignment horizontal="left" vertical="center"/>
    </xf>
    <xf numFmtId="0" fontId="1" fillId="6" borderId="0" xfId="0" applyNumberFormat="1" applyFont="1" applyFill="1" applyBorder="1" applyAlignment="1">
      <alignment horizontal="center" vertical="center"/>
    </xf>
    <xf numFmtId="0" fontId="7" fillId="7" borderId="0" xfId="0" applyNumberFormat="1" applyFont="1" applyFill="1" applyBorder="1" applyAlignment="1">
      <alignment horizontal="center" vertical="center"/>
    </xf>
    <xf numFmtId="0" fontId="1" fillId="5" borderId="0" xfId="0" applyNumberFormat="1" applyFont="1" applyFill="1" applyBorder="1" applyAlignment="1">
      <alignment wrapText="1"/>
    </xf>
    <xf numFmtId="0" fontId="1" fillId="5" borderId="0" xfId="0" applyNumberFormat="1" applyFont="1" applyFill="1" applyBorder="1" applyAlignment="1">
      <alignment horizontal="center" vertical="center" wrapText="1"/>
    </xf>
    <xf numFmtId="0" fontId="1" fillId="6" borderId="0" xfId="0" applyNumberFormat="1" applyFont="1" applyFill="1" applyBorder="1" applyAlignment="1">
      <alignment horizontal="center" vertical="center" wrapText="1"/>
    </xf>
    <xf numFmtId="2" fontId="1" fillId="5" borderId="0" xfId="0" applyNumberFormat="1" applyFont="1" applyFill="1" applyBorder="1" applyAlignment="1">
      <alignment horizontal="center" vertical="center" wrapText="1"/>
    </xf>
    <xf numFmtId="1" fontId="1" fillId="6" borderId="0" xfId="0" applyNumberFormat="1" applyFont="1" applyFill="1" applyBorder="1" applyAlignment="1">
      <alignment horizontal="center" vertical="center" wrapText="1"/>
    </xf>
    <xf numFmtId="0" fontId="1" fillId="6" borderId="0" xfId="0" applyNumberFormat="1" applyFont="1" applyFill="1" applyBorder="1" applyAlignment="1">
      <alignment wrapText="1"/>
    </xf>
    <xf numFmtId="0" fontId="7" fillId="6" borderId="0" xfId="0" applyNumberFormat="1" applyFont="1" applyFill="1" applyBorder="1" applyAlignment="1">
      <alignment wrapText="1"/>
    </xf>
    <xf numFmtId="0" fontId="8" fillId="8" borderId="0" xfId="0" applyNumberFormat="1" applyFont="1" applyFill="1" applyBorder="1" applyAlignment="1">
      <alignment vertical="center"/>
    </xf>
    <xf numFmtId="0" fontId="11" fillId="11" borderId="0" xfId="0" applyNumberFormat="1" applyFont="1" applyFill="1" applyBorder="1" applyAlignment="1">
      <alignment horizontal="center" vertical="center" wrapText="1"/>
    </xf>
    <xf numFmtId="0" fontId="11" fillId="13" borderId="0" xfId="0" applyNumberFormat="1" applyFont="1" applyFill="1" applyBorder="1" applyAlignment="1">
      <alignment horizontal="center" vertical="center" wrapText="1"/>
    </xf>
    <xf numFmtId="0" fontId="11" fillId="11" borderId="0" xfId="0" applyNumberFormat="1" applyFont="1" applyFill="1" applyBorder="1" applyAlignment="1">
      <alignment horizontal="center" vertical="center"/>
    </xf>
    <xf numFmtId="0" fontId="8" fillId="14" borderId="0" xfId="0" applyNumberFormat="1" applyFont="1" applyFill="1" applyAlignment="1">
      <alignment vertical="center" wrapText="1"/>
    </xf>
    <xf numFmtId="2" fontId="8" fillId="14" borderId="0" xfId="0" applyNumberFormat="1" applyFont="1" applyFill="1" applyAlignment="1">
      <alignment vertical="center" wrapText="1"/>
    </xf>
    <xf numFmtId="0" fontId="8" fillId="15" borderId="0" xfId="0" applyNumberFormat="1" applyFont="1" applyFill="1" applyAlignment="1">
      <alignment vertical="center" wrapText="1"/>
    </xf>
    <xf numFmtId="2" fontId="8" fillId="15" borderId="0" xfId="0" applyNumberFormat="1" applyFont="1" applyFill="1" applyAlignment="1">
      <alignment vertical="center" wrapText="1"/>
    </xf>
    <xf numFmtId="0" fontId="8" fillId="16" borderId="0" xfId="0" applyNumberFormat="1" applyFont="1" applyFill="1" applyAlignment="1">
      <alignment vertical="center" wrapText="1"/>
    </xf>
    <xf numFmtId="0" fontId="8" fillId="17" borderId="0" xfId="0" applyNumberFormat="1" applyFont="1" applyFill="1" applyAlignment="1">
      <alignment vertical="center" wrapText="1"/>
    </xf>
    <xf numFmtId="2" fontId="8" fillId="17" borderId="0" xfId="0" applyNumberFormat="1" applyFont="1" applyFill="1" applyAlignment="1">
      <alignment vertical="center" wrapText="1"/>
    </xf>
    <xf numFmtId="2" fontId="8" fillId="16" borderId="0" xfId="0" applyNumberFormat="1" applyFont="1" applyFill="1" applyAlignment="1">
      <alignment vertical="center" wrapText="1"/>
    </xf>
    <xf numFmtId="0" fontId="11" fillId="12" borderId="0" xfId="0" applyNumberFormat="1" applyFont="1" applyFill="1" applyBorder="1" applyAlignment="1">
      <alignment horizontal="center" vertical="center"/>
    </xf>
    <xf numFmtId="0" fontId="8" fillId="18" borderId="0" xfId="0" applyNumberFormat="1" applyFont="1" applyFill="1" applyBorder="1"/>
    <xf numFmtId="0" fontId="8" fillId="18" borderId="0" xfId="0" applyNumberFormat="1" applyFont="1" applyFill="1" applyBorder="1" applyAlignment="1">
      <alignment vertical="center" wrapText="1"/>
    </xf>
    <xf numFmtId="0" fontId="11" fillId="23" borderId="1" xfId="0" applyNumberFormat="1" applyFont="1" applyFill="1" applyBorder="1" applyAlignment="1">
      <alignment horizontal="center" vertical="center" wrapText="1"/>
    </xf>
    <xf numFmtId="0" fontId="9" fillId="24" borderId="2" xfId="0" applyNumberFormat="1" applyFont="1" applyFill="1" applyBorder="1" applyAlignment="1">
      <alignment vertical="center" wrapText="1"/>
    </xf>
    <xf numFmtId="0" fontId="8" fillId="24" borderId="2" xfId="0" applyNumberFormat="1" applyFont="1" applyFill="1" applyBorder="1" applyAlignment="1">
      <alignment horizontal="center" vertical="center" wrapText="1"/>
    </xf>
    <xf numFmtId="0" fontId="8" fillId="24" borderId="2" xfId="0" applyNumberFormat="1" applyFont="1" applyFill="1" applyBorder="1" applyAlignment="1">
      <alignment vertical="center" wrapText="1"/>
    </xf>
    <xf numFmtId="164" fontId="8" fillId="25" borderId="2" xfId="0" applyNumberFormat="1" applyFont="1" applyFill="1" applyBorder="1" applyAlignment="1">
      <alignment vertical="center" wrapText="1"/>
    </xf>
    <xf numFmtId="164" fontId="8" fillId="27" borderId="2" xfId="0" applyNumberFormat="1" applyFont="1" applyFill="1" applyBorder="1" applyAlignment="1">
      <alignment vertical="center" wrapText="1"/>
    </xf>
    <xf numFmtId="0" fontId="1" fillId="28" borderId="0" xfId="0" applyNumberFormat="1" applyFont="1" applyFill="1" applyBorder="1"/>
    <xf numFmtId="0" fontId="0" fillId="28" borderId="0" xfId="0" applyNumberFormat="1" applyFont="1" applyFill="1" applyBorder="1"/>
    <xf numFmtId="0" fontId="4" fillId="31" borderId="11" xfId="0" applyNumberFormat="1" applyFont="1" applyFill="1" applyBorder="1" applyAlignment="1">
      <alignment horizontal="center" vertical="center"/>
    </xf>
    <xf numFmtId="0" fontId="4" fillId="31" borderId="12" xfId="0" applyNumberFormat="1" applyFont="1" applyFill="1" applyBorder="1" applyAlignment="1">
      <alignment horizontal="center" vertical="center"/>
    </xf>
    <xf numFmtId="0" fontId="4" fillId="31" borderId="13" xfId="0" applyNumberFormat="1" applyFont="1" applyFill="1" applyBorder="1" applyAlignment="1">
      <alignment horizontal="center" vertical="center"/>
    </xf>
    <xf numFmtId="0" fontId="1" fillId="32" borderId="20" xfId="0" applyNumberFormat="1" applyFont="1" applyFill="1" applyBorder="1"/>
    <xf numFmtId="0" fontId="1" fillId="32" borderId="21" xfId="0" applyNumberFormat="1" applyFont="1" applyFill="1" applyBorder="1"/>
    <xf numFmtId="0" fontId="1" fillId="32" borderId="22" xfId="0" applyNumberFormat="1" applyFont="1" applyFill="1" applyBorder="1"/>
    <xf numFmtId="0" fontId="1" fillId="32" borderId="14" xfId="0" applyNumberFormat="1" applyFont="1" applyFill="1" applyBorder="1"/>
    <xf numFmtId="0" fontId="1" fillId="32" borderId="15" xfId="0" applyNumberFormat="1" applyFont="1" applyFill="1" applyBorder="1"/>
    <xf numFmtId="0" fontId="1" fillId="32" borderId="16" xfId="0" applyNumberFormat="1" applyFont="1" applyFill="1" applyBorder="1"/>
    <xf numFmtId="164" fontId="1" fillId="32" borderId="21" xfId="0" applyNumberFormat="1" applyFont="1" applyFill="1" applyBorder="1"/>
    <xf numFmtId="164" fontId="1" fillId="32" borderId="15" xfId="0" applyNumberFormat="1" applyFont="1" applyFill="1" applyBorder="1"/>
    <xf numFmtId="164" fontId="0" fillId="32" borderId="20" xfId="0" applyNumberFormat="1" applyFont="1" applyFill="1" applyBorder="1"/>
    <xf numFmtId="164" fontId="0" fillId="32" borderId="21" xfId="0" applyNumberFormat="1" applyFont="1" applyFill="1" applyBorder="1"/>
    <xf numFmtId="164" fontId="0" fillId="32" borderId="22" xfId="0" applyNumberFormat="1" applyFont="1" applyFill="1" applyBorder="1"/>
    <xf numFmtId="164" fontId="0" fillId="32" borderId="14" xfId="0" applyNumberFormat="1" applyFont="1" applyFill="1" applyBorder="1"/>
    <xf numFmtId="164" fontId="0" fillId="32" borderId="15" xfId="0" applyNumberFormat="1" applyFont="1" applyFill="1" applyBorder="1"/>
    <xf numFmtId="164" fontId="0" fillId="32" borderId="16" xfId="0" applyNumberFormat="1" applyFont="1" applyFill="1" applyBorder="1"/>
    <xf numFmtId="0" fontId="21" fillId="24" borderId="2" xfId="0" applyNumberFormat="1" applyFont="1" applyFill="1" applyBorder="1" applyAlignment="1">
      <alignment vertical="center" wrapText="1"/>
    </xf>
    <xf numFmtId="0" fontId="4" fillId="33" borderId="0" xfId="0" applyNumberFormat="1" applyFont="1" applyFill="1" applyBorder="1" applyAlignment="1">
      <alignment vertical="center"/>
    </xf>
    <xf numFmtId="0" fontId="1" fillId="33" borderId="0" xfId="0" applyNumberFormat="1" applyFont="1" applyFill="1" applyBorder="1" applyAlignment="1"/>
    <xf numFmtId="0" fontId="1" fillId="2" borderId="0" xfId="0" applyNumberFormat="1" applyFont="1" applyFill="1" applyBorder="1" applyAlignment="1"/>
    <xf numFmtId="0" fontId="11" fillId="33" borderId="0" xfId="0" applyNumberFormat="1" applyFont="1" applyFill="1" applyBorder="1" applyAlignment="1">
      <alignment vertical="center" wrapText="1"/>
    </xf>
    <xf numFmtId="0" fontId="21" fillId="15" borderId="0" xfId="0" applyNumberFormat="1" applyFont="1" applyFill="1" applyAlignment="1">
      <alignment vertical="center" wrapText="1"/>
    </xf>
    <xf numFmtId="0" fontId="22" fillId="33" borderId="0" xfId="1" applyNumberFormat="1" applyFont="1" applyFill="1" applyBorder="1" applyAlignment="1">
      <alignment vertical="center" wrapText="1"/>
    </xf>
    <xf numFmtId="0" fontId="11" fillId="11" borderId="0" xfId="0" applyNumberFormat="1" applyFont="1" applyFill="1" applyBorder="1" applyAlignment="1">
      <alignment vertical="center" wrapText="1"/>
    </xf>
    <xf numFmtId="0" fontId="23" fillId="33" borderId="0" xfId="0" applyNumberFormat="1" applyFont="1" applyFill="1" applyBorder="1" applyAlignment="1">
      <alignment vertical="center" wrapText="1"/>
    </xf>
    <xf numFmtId="0" fontId="22" fillId="33" borderId="0" xfId="1" applyNumberFormat="1" applyFont="1" applyFill="1" applyBorder="1" applyAlignment="1">
      <alignment vertical="center"/>
    </xf>
    <xf numFmtId="0" fontId="22" fillId="33" borderId="0" xfId="0" applyNumberFormat="1" applyFont="1" applyFill="1" applyBorder="1" applyAlignment="1"/>
    <xf numFmtId="0" fontId="22" fillId="33" borderId="11" xfId="1" applyNumberFormat="1" applyFont="1" applyFill="1" applyBorder="1" applyAlignment="1">
      <alignment vertical="center" wrapText="1"/>
    </xf>
    <xf numFmtId="0" fontId="4" fillId="33" borderId="11" xfId="0" applyNumberFormat="1" applyFont="1" applyFill="1" applyBorder="1" applyAlignment="1">
      <alignment vertical="center" wrapText="1"/>
    </xf>
    <xf numFmtId="0" fontId="4" fillId="33" borderId="22" xfId="0" applyNumberFormat="1" applyFont="1" applyFill="1" applyBorder="1" applyAlignment="1">
      <alignment vertical="center" wrapText="1"/>
    </xf>
    <xf numFmtId="0" fontId="21" fillId="17" borderId="0" xfId="0" applyNumberFormat="1" applyFont="1" applyFill="1" applyAlignment="1">
      <alignment vertical="center" wrapText="1"/>
    </xf>
    <xf numFmtId="0" fontId="2" fillId="3" borderId="0" xfId="0" applyNumberFormat="1" applyFont="1" applyFill="1" applyBorder="1" applyAlignment="1">
      <alignment horizontal="center" vertical="center" wrapText="1"/>
    </xf>
    <xf numFmtId="0" fontId="1" fillId="2" borderId="0" xfId="0" applyNumberFormat="1" applyFont="1" applyFill="1" applyBorder="1"/>
    <xf numFmtId="0" fontId="3" fillId="4" borderId="0" xfId="0" applyNumberFormat="1" applyFont="1" applyFill="1" applyBorder="1" applyAlignment="1">
      <alignment horizontal="center" vertical="center" wrapText="1"/>
    </xf>
    <xf numFmtId="0" fontId="4" fillId="33" borderId="0" xfId="0" applyNumberFormat="1" applyFont="1" applyFill="1" applyBorder="1" applyAlignment="1">
      <alignment horizontal="center" vertical="center"/>
    </xf>
    <xf numFmtId="0" fontId="5" fillId="3" borderId="0" xfId="0" applyNumberFormat="1" applyFont="1" applyFill="1" applyBorder="1" applyAlignment="1">
      <alignment horizontal="center" vertical="center" wrapText="1"/>
    </xf>
    <xf numFmtId="0" fontId="6" fillId="3" borderId="0" xfId="0" applyNumberFormat="1" applyFont="1" applyFill="1" applyBorder="1" applyAlignment="1">
      <alignment horizontal="left" vertical="center"/>
    </xf>
    <xf numFmtId="0" fontId="1" fillId="5" borderId="0" xfId="0" applyNumberFormat="1" applyFont="1" applyFill="1" applyBorder="1" applyAlignment="1">
      <alignment horizontal="left" vertical="center" wrapText="1"/>
    </xf>
    <xf numFmtId="0" fontId="1" fillId="4" borderId="0" xfId="0" applyNumberFormat="1" applyFont="1" applyFill="1" applyBorder="1" applyAlignment="1">
      <alignment vertical="center" wrapText="1"/>
    </xf>
    <xf numFmtId="0" fontId="12" fillId="9" borderId="0" xfId="0" applyNumberFormat="1" applyFont="1" applyFill="1" applyBorder="1" applyAlignment="1">
      <alignment horizontal="left" vertical="center"/>
    </xf>
    <xf numFmtId="0" fontId="11" fillId="33" borderId="0" xfId="0" applyNumberFormat="1" applyFont="1" applyFill="1" applyBorder="1" applyAlignment="1">
      <alignment horizontal="center" vertical="center" wrapText="1"/>
    </xf>
    <xf numFmtId="0" fontId="20" fillId="10" borderId="0" xfId="0" applyNumberFormat="1" applyFont="1" applyFill="1" applyBorder="1" applyAlignment="1">
      <alignment horizontal="center" vertical="center" wrapText="1"/>
    </xf>
    <xf numFmtId="0" fontId="10" fillId="9" borderId="0" xfId="0" applyNumberFormat="1" applyFont="1" applyFill="1" applyBorder="1" applyAlignment="1">
      <alignment horizontal="center" vertical="center" wrapText="1"/>
    </xf>
    <xf numFmtId="0" fontId="12" fillId="9" borderId="0" xfId="0" applyNumberFormat="1" applyFont="1" applyFill="1" applyBorder="1" applyAlignment="1">
      <alignment horizontal="center" vertical="center"/>
    </xf>
    <xf numFmtId="0" fontId="8" fillId="14" borderId="0" xfId="0" applyNumberFormat="1" applyFont="1" applyFill="1" applyBorder="1" applyAlignment="1">
      <alignment horizontal="left" vertical="center" wrapText="1"/>
    </xf>
    <xf numFmtId="0" fontId="12" fillId="19" borderId="0" xfId="0" applyNumberFormat="1" applyFont="1" applyFill="1" applyBorder="1" applyAlignment="1">
      <alignment horizontal="center" vertical="center" wrapText="1"/>
    </xf>
    <xf numFmtId="0" fontId="8" fillId="24" borderId="3" xfId="0" applyNumberFormat="1" applyFont="1" applyFill="1" applyBorder="1" applyAlignment="1">
      <alignment vertical="center" wrapText="1"/>
    </xf>
    <xf numFmtId="0" fontId="8" fillId="24" borderId="4" xfId="0" applyNumberFormat="1" applyFont="1" applyFill="1" applyBorder="1" applyAlignment="1">
      <alignment vertical="center" wrapText="1"/>
    </xf>
    <xf numFmtId="0" fontId="8" fillId="24" borderId="5" xfId="0" applyNumberFormat="1" applyFont="1" applyFill="1" applyBorder="1" applyAlignment="1">
      <alignment vertical="center" wrapText="1"/>
    </xf>
    <xf numFmtId="0" fontId="8" fillId="24" borderId="6" xfId="0" applyNumberFormat="1" applyFont="1" applyFill="1" applyBorder="1" applyAlignment="1">
      <alignment vertical="center" wrapText="1"/>
    </xf>
    <xf numFmtId="0" fontId="8" fillId="24" borderId="0" xfId="0" applyNumberFormat="1" applyFont="1" applyFill="1" applyAlignment="1">
      <alignment vertical="center" wrapText="1"/>
    </xf>
    <xf numFmtId="0" fontId="8" fillId="24" borderId="7" xfId="0" applyNumberFormat="1" applyFont="1" applyFill="1" applyBorder="1" applyAlignment="1">
      <alignment vertical="center" wrapText="1"/>
    </xf>
    <xf numFmtId="0" fontId="8" fillId="24" borderId="8" xfId="0" applyNumberFormat="1" applyFont="1" applyFill="1" applyBorder="1" applyAlignment="1">
      <alignment vertical="center" wrapText="1"/>
    </xf>
    <xf numFmtId="0" fontId="8" fillId="24" borderId="9" xfId="0" applyNumberFormat="1" applyFont="1" applyFill="1" applyBorder="1" applyAlignment="1">
      <alignment vertical="center" wrapText="1"/>
    </xf>
    <xf numFmtId="0" fontId="8" fillId="24" borderId="10" xfId="0" applyNumberFormat="1" applyFont="1" applyFill="1" applyBorder="1" applyAlignment="1">
      <alignment vertical="center" wrapText="1"/>
    </xf>
    <xf numFmtId="0" fontId="12" fillId="23" borderId="0" xfId="0" applyNumberFormat="1" applyFont="1" applyFill="1" applyBorder="1" applyAlignment="1">
      <alignment horizontal="center" vertical="center" wrapText="1"/>
    </xf>
    <xf numFmtId="0" fontId="12" fillId="22" borderId="0" xfId="0" applyNumberFormat="1" applyFont="1" applyFill="1" applyBorder="1" applyAlignment="1">
      <alignment horizontal="center" vertical="center" wrapText="1"/>
    </xf>
    <xf numFmtId="0" fontId="12" fillId="26" borderId="0" xfId="0" applyNumberFormat="1" applyFont="1" applyFill="1" applyBorder="1" applyAlignment="1">
      <alignment horizontal="center" vertical="center" wrapText="1"/>
    </xf>
    <xf numFmtId="0" fontId="12" fillId="21" borderId="0" xfId="0" applyNumberFormat="1" applyFont="1" applyFill="1" applyBorder="1" applyAlignment="1">
      <alignment horizontal="center" vertical="center" wrapText="1"/>
    </xf>
    <xf numFmtId="0" fontId="11" fillId="23" borderId="1" xfId="0" applyNumberFormat="1" applyFont="1" applyFill="1" applyBorder="1" applyAlignment="1">
      <alignment horizontal="center" vertical="center" wrapText="1"/>
    </xf>
    <xf numFmtId="0" fontId="8" fillId="24" borderId="2" xfId="0" applyNumberFormat="1" applyFont="1" applyFill="1" applyBorder="1" applyAlignment="1">
      <alignment horizontal="left" vertical="top" wrapText="1"/>
    </xf>
    <xf numFmtId="0" fontId="13" fillId="19" borderId="0" xfId="0" applyNumberFormat="1" applyFont="1" applyFill="1" applyBorder="1" applyAlignment="1">
      <alignment horizontal="center" vertical="center" wrapText="1"/>
    </xf>
    <xf numFmtId="0" fontId="14" fillId="20" borderId="0" xfId="0" applyNumberFormat="1" applyFont="1" applyFill="1" applyBorder="1" applyAlignment="1">
      <alignment horizontal="center" vertical="center" wrapText="1"/>
    </xf>
    <xf numFmtId="0" fontId="16" fillId="29" borderId="17" xfId="0" applyNumberFormat="1" applyFont="1" applyFill="1" applyBorder="1" applyAlignment="1">
      <alignment horizontal="center" vertical="center" wrapText="1"/>
    </xf>
    <xf numFmtId="0" fontId="16" fillId="29" borderId="18" xfId="0" applyNumberFormat="1" applyFont="1" applyFill="1" applyBorder="1" applyAlignment="1">
      <alignment horizontal="center" vertical="center" wrapText="1"/>
    </xf>
    <xf numFmtId="0" fontId="16" fillId="29" borderId="19" xfId="0" applyNumberFormat="1" applyFont="1" applyFill="1" applyBorder="1" applyAlignment="1">
      <alignment horizontal="center" vertical="center" wrapText="1"/>
    </xf>
    <xf numFmtId="0" fontId="18" fillId="32" borderId="11" xfId="0" applyNumberFormat="1" applyFont="1" applyFill="1" applyBorder="1" applyAlignment="1">
      <alignment horizontal="left" vertical="center" wrapText="1"/>
    </xf>
    <xf numFmtId="0" fontId="18" fillId="32" borderId="12" xfId="0" applyNumberFormat="1" applyFont="1" applyFill="1" applyBorder="1" applyAlignment="1">
      <alignment horizontal="left" vertical="center" wrapText="1"/>
    </xf>
    <xf numFmtId="0" fontId="18" fillId="32" borderId="13" xfId="0" applyNumberFormat="1" applyFont="1" applyFill="1" applyBorder="1" applyAlignment="1">
      <alignment horizontal="left" vertical="center" wrapText="1"/>
    </xf>
    <xf numFmtId="0" fontId="18" fillId="32" borderId="20" xfId="0" applyNumberFormat="1" applyFont="1" applyFill="1" applyBorder="1" applyAlignment="1">
      <alignment horizontal="left" vertical="center" wrapText="1"/>
    </xf>
    <xf numFmtId="0" fontId="18" fillId="32" borderId="21" xfId="0" applyNumberFormat="1" applyFont="1" applyFill="1" applyBorder="1" applyAlignment="1">
      <alignment horizontal="left" vertical="center" wrapText="1"/>
    </xf>
    <xf numFmtId="0" fontId="18" fillId="32" borderId="22" xfId="0" applyNumberFormat="1" applyFont="1" applyFill="1" applyBorder="1" applyAlignment="1">
      <alignment horizontal="left" vertical="center" wrapText="1"/>
    </xf>
    <xf numFmtId="0" fontId="18" fillId="32" borderId="14" xfId="0" applyNumberFormat="1" applyFont="1" applyFill="1" applyBorder="1" applyAlignment="1">
      <alignment horizontal="left" vertical="center" wrapText="1"/>
    </xf>
    <xf numFmtId="0" fontId="18" fillId="32" borderId="15" xfId="0" applyNumberFormat="1" applyFont="1" applyFill="1" applyBorder="1" applyAlignment="1">
      <alignment horizontal="left" vertical="center" wrapText="1"/>
    </xf>
    <xf numFmtId="0" fontId="18" fillId="32" borderId="16" xfId="0" applyNumberFormat="1" applyFont="1" applyFill="1" applyBorder="1" applyAlignment="1">
      <alignment horizontal="left" vertical="center" wrapText="1"/>
    </xf>
    <xf numFmtId="0" fontId="17" fillId="32" borderId="11" xfId="0" applyNumberFormat="1" applyFont="1" applyFill="1" applyBorder="1" applyAlignment="1">
      <alignment horizontal="center" vertical="center" wrapText="1"/>
    </xf>
    <xf numFmtId="0" fontId="17" fillId="32" borderId="12" xfId="0" applyNumberFormat="1" applyFont="1" applyFill="1" applyBorder="1" applyAlignment="1">
      <alignment horizontal="center" vertical="center" wrapText="1"/>
    </xf>
    <xf numFmtId="0" fontId="17" fillId="32" borderId="13" xfId="0" applyNumberFormat="1" applyFont="1" applyFill="1" applyBorder="1" applyAlignment="1">
      <alignment horizontal="center" vertical="center" wrapText="1"/>
    </xf>
    <xf numFmtId="0" fontId="17" fillId="32" borderId="20" xfId="0" applyNumberFormat="1" applyFont="1" applyFill="1" applyBorder="1" applyAlignment="1">
      <alignment horizontal="center" vertical="center" wrapText="1"/>
    </xf>
    <xf numFmtId="0" fontId="17" fillId="32" borderId="21" xfId="0" applyNumberFormat="1" applyFont="1" applyFill="1" applyBorder="1" applyAlignment="1">
      <alignment horizontal="center" vertical="center" wrapText="1"/>
    </xf>
    <xf numFmtId="0" fontId="17" fillId="32" borderId="22" xfId="0" applyNumberFormat="1" applyFont="1" applyFill="1" applyBorder="1" applyAlignment="1">
      <alignment horizontal="center" vertical="center" wrapText="1"/>
    </xf>
    <xf numFmtId="0" fontId="17" fillId="32" borderId="14" xfId="0" applyNumberFormat="1" applyFont="1" applyFill="1" applyBorder="1" applyAlignment="1">
      <alignment horizontal="center" vertical="center" wrapText="1"/>
    </xf>
    <xf numFmtId="0" fontId="17" fillId="32" borderId="15" xfId="0" applyNumberFormat="1" applyFont="1" applyFill="1" applyBorder="1" applyAlignment="1">
      <alignment horizontal="center" vertical="center" wrapText="1"/>
    </xf>
    <xf numFmtId="0" fontId="17" fillId="32" borderId="16" xfId="0" applyNumberFormat="1" applyFont="1" applyFill="1" applyBorder="1" applyAlignment="1">
      <alignment horizontal="center" vertical="center" wrapText="1"/>
    </xf>
    <xf numFmtId="0" fontId="2" fillId="29" borderId="11" xfId="0" applyNumberFormat="1" applyFont="1" applyFill="1" applyBorder="1" applyAlignment="1">
      <alignment horizontal="center" vertical="center" wrapText="1"/>
    </xf>
    <xf numFmtId="0" fontId="2" fillId="29" borderId="12" xfId="0" applyNumberFormat="1" applyFont="1" applyFill="1" applyBorder="1" applyAlignment="1">
      <alignment horizontal="center" vertical="center" wrapText="1"/>
    </xf>
    <xf numFmtId="0" fontId="2" fillId="29" borderId="13" xfId="0" applyNumberFormat="1" applyFont="1" applyFill="1" applyBorder="1" applyAlignment="1">
      <alignment horizontal="center" vertical="center" wrapText="1"/>
    </xf>
    <xf numFmtId="0" fontId="2" fillId="29" borderId="14" xfId="0" applyNumberFormat="1" applyFont="1" applyFill="1" applyBorder="1" applyAlignment="1">
      <alignment horizontal="center" vertical="center" wrapText="1"/>
    </xf>
    <xf numFmtId="0" fontId="2" fillId="29" borderId="15" xfId="0" applyNumberFormat="1" applyFont="1" applyFill="1" applyBorder="1" applyAlignment="1">
      <alignment horizontal="center" vertical="center" wrapText="1"/>
    </xf>
    <xf numFmtId="0" fontId="2" fillId="29" borderId="16" xfId="0" applyNumberFormat="1" applyFont="1" applyFill="1" applyBorder="1" applyAlignment="1">
      <alignment horizontal="center" vertical="center" wrapText="1"/>
    </xf>
    <xf numFmtId="0" fontId="15" fillId="30" borderId="11" xfId="0" applyNumberFormat="1" applyFont="1" applyFill="1" applyBorder="1" applyAlignment="1">
      <alignment horizontal="center" vertical="center" wrapText="1"/>
    </xf>
    <xf numFmtId="0" fontId="15" fillId="30" borderId="12" xfId="0" applyNumberFormat="1" applyFont="1" applyFill="1" applyBorder="1" applyAlignment="1">
      <alignment horizontal="center" vertical="center" wrapText="1"/>
    </xf>
    <xf numFmtId="0" fontId="15" fillId="30" borderId="13" xfId="0" applyNumberFormat="1" applyFont="1" applyFill="1" applyBorder="1" applyAlignment="1">
      <alignment horizontal="center" vertical="center" wrapText="1"/>
    </xf>
    <xf numFmtId="0" fontId="15" fillId="30" borderId="14" xfId="0" applyNumberFormat="1" applyFont="1" applyFill="1" applyBorder="1" applyAlignment="1">
      <alignment horizontal="center" vertical="center" wrapText="1"/>
    </xf>
    <xf numFmtId="0" fontId="15" fillId="30" borderId="15" xfId="0" applyNumberFormat="1" applyFont="1" applyFill="1" applyBorder="1" applyAlignment="1">
      <alignment horizontal="center" vertical="center" wrapText="1"/>
    </xf>
    <xf numFmtId="0" fontId="15" fillId="30" borderId="16" xfId="0" applyNumberFormat="1" applyFont="1" applyFill="1" applyBorder="1" applyAlignment="1">
      <alignment horizontal="center" vertical="center" wrapText="1"/>
    </xf>
  </cellXfs>
  <cellStyles count="2">
    <cellStyle name="Lien hypertexte" xfId="1" builtinId="8"/>
    <cellStyle name="Normal" xfId="0" builtinId="0"/>
  </cellStyles>
  <dxfs count="8">
    <dxf>
      <fill>
        <patternFill>
          <bgColor rgb="FFFEE2E2"/>
        </patternFill>
      </fill>
    </dxf>
    <dxf>
      <fill>
        <patternFill>
          <bgColor rgb="FFDCFCE7"/>
        </patternFill>
      </fill>
    </dxf>
    <dxf>
      <font>
        <b/>
        <color rgb="FF166534"/>
      </font>
      <fill>
        <patternFill>
          <bgColor rgb="FFDCFCE7"/>
        </patternFill>
      </fill>
    </dxf>
    <dxf>
      <font>
        <b/>
        <color rgb="FF991B1B"/>
      </font>
      <fill>
        <patternFill>
          <bgColor rgb="FFFEE2E2"/>
        </patternFill>
      </fill>
    </dxf>
    <dxf>
      <font>
        <b/>
        <color rgb="FF991B1B"/>
      </font>
      <fill>
        <patternFill>
          <bgColor rgb="FFFEE2E2"/>
        </patternFill>
      </fill>
    </dxf>
    <dxf>
      <font>
        <b/>
        <color rgb="FF166534"/>
      </font>
      <fill>
        <patternFill>
          <bgColor rgb="FFDCFCE7"/>
        </patternFill>
      </fill>
    </dxf>
    <dxf>
      <font>
        <b/>
        <color rgb="FF991B1B"/>
      </font>
      <fill>
        <patternFill>
          <bgColor rgb="FFFEE2E2"/>
        </patternFill>
      </fill>
    </dxf>
    <dxf>
      <font>
        <b/>
        <color rgb="FF166534"/>
      </font>
      <fill>
        <patternFill>
          <bgColor rgb="FFDCFCE7"/>
        </patternFill>
      </fill>
    </dxf>
  </dxfs>
  <tableStyles count="0" defaultTableStyle="TableStyleMedium2" defaultPivotStyle="PivotStyleLight16"/>
  <colors>
    <mruColors>
      <color rgb="FFE0E03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c:style val="2"/>
  <c:chart>
    <c:autoTitleDeleted val="1"/>
    <c:plotArea>
      <c:layout/>
      <c:lineChart>
        <c:grouping val="standard"/>
        <c:varyColors val="1"/>
        <c:ser>
          <c:idx val="0"/>
          <c:order val="0"/>
          <c:tx>
            <c:v>Diagramme de l’effort normal N(x)</c:v>
          </c:tx>
          <c:cat>
            <c:numRef>
              <c:f>DIAGRAMMES!$B$24:$B$34</c:f>
              <c:numCache>
                <c:formatCode>0.000</c:formatCode>
                <c:ptCount val="11"/>
                <c:pt idx="0">
                  <c:v>0</c:v>
                </c:pt>
                <c:pt idx="1">
                  <c:v>2</c:v>
                </c:pt>
                <c:pt idx="2">
                  <c:v>4</c:v>
                </c:pt>
                <c:pt idx="3">
                  <c:v>6</c:v>
                </c:pt>
                <c:pt idx="4">
                  <c:v>8</c:v>
                </c:pt>
                <c:pt idx="5">
                  <c:v>10</c:v>
                </c:pt>
                <c:pt idx="6">
                  <c:v>12</c:v>
                </c:pt>
                <c:pt idx="7">
                  <c:v>14</c:v>
                </c:pt>
                <c:pt idx="8">
                  <c:v>16</c:v>
                </c:pt>
                <c:pt idx="9">
                  <c:v>18</c:v>
                </c:pt>
                <c:pt idx="10">
                  <c:v>20</c:v>
                </c:pt>
              </c:numCache>
            </c:numRef>
          </c:cat>
          <c:val>
            <c:numRef>
              <c:f>DIAGRAMMES!$C$24:$C$34</c:f>
              <c:numCache>
                <c:formatCode>0.000</c:formatCode>
                <c:ptCount val="11"/>
                <c:pt idx="0">
                  <c:v>0</c:v>
                </c:pt>
                <c:pt idx="1">
                  <c:v>0</c:v>
                </c:pt>
                <c:pt idx="2">
                  <c:v>0</c:v>
                </c:pt>
                <c:pt idx="3">
                  <c:v>0</c:v>
                </c:pt>
                <c:pt idx="4">
                  <c:v>0</c:v>
                </c:pt>
                <c:pt idx="5">
                  <c:v>0</c:v>
                </c:pt>
                <c:pt idx="6">
                  <c:v>0</c:v>
                </c:pt>
                <c:pt idx="7">
                  <c:v>0</c:v>
                </c:pt>
                <c:pt idx="8">
                  <c:v>0</c:v>
                </c:pt>
                <c:pt idx="9">
                  <c:v>0</c:v>
                </c:pt>
                <c:pt idx="10">
                  <c:v>0</c:v>
                </c:pt>
              </c:numCache>
            </c:numRef>
          </c:val>
          <c:smooth val="0"/>
          <c:extLst>
            <c:ext xmlns:c16="http://schemas.microsoft.com/office/drawing/2014/chart" uri="{C3380CC4-5D6E-409C-BE32-E72D297353CC}">
              <c16:uniqueId val="{00000000-10D0-4DD3-AC99-FAB1582C9188}"/>
            </c:ext>
          </c:extLst>
        </c:ser>
        <c:dLbls>
          <c:showLegendKey val="0"/>
          <c:showVal val="0"/>
          <c:showCatName val="0"/>
          <c:showSerName val="0"/>
          <c:showPercent val="0"/>
          <c:showBubbleSize val="0"/>
        </c:dLbls>
        <c:marker val="1"/>
        <c:smooth val="0"/>
        <c:axId val="48650112"/>
        <c:axId val="48672768"/>
      </c:lineChart>
      <c:catAx>
        <c:axId val="48650112"/>
        <c:scaling>
          <c:orientation val="minMax"/>
        </c:scaling>
        <c:delete val="0"/>
        <c:axPos val="b"/>
        <c:majorGridlines>
          <c:spPr>
            <a:ln w="9525">
              <a:solidFill>
                <a:srgbClr val="CCCCCC"/>
              </a:solidFill>
              <a:prstDash val="dash"/>
            </a:ln>
          </c:spPr>
        </c:majorGridlines>
        <c:title>
          <c:tx>
            <c:rich>
              <a:bodyPr/>
              <a:lstStyle/>
              <a:p>
                <a:r>
                  <a:rPr lang="fr-FR"/>
                  <a:t>Position x [m]</a:t>
                </a:r>
              </a:p>
            </c:rich>
          </c:tx>
          <c:layout/>
          <c:overlay val="0"/>
        </c:title>
        <c:numFmt formatCode="0.000" sourceLinked="1"/>
        <c:majorTickMark val="none"/>
        <c:minorTickMark val="none"/>
        <c:tickLblPos val="nextTo"/>
        <c:crossAx val="48672768"/>
        <c:crosses val="autoZero"/>
        <c:auto val="1"/>
        <c:lblAlgn val="ctr"/>
        <c:lblOffset val="100"/>
        <c:noMultiLvlLbl val="0"/>
      </c:catAx>
      <c:valAx>
        <c:axId val="48672768"/>
        <c:scaling>
          <c:orientation val="minMax"/>
        </c:scaling>
        <c:delete val="0"/>
        <c:axPos val="l"/>
        <c:majorGridlines>
          <c:spPr>
            <a:ln w="9525">
              <a:solidFill>
                <a:srgbClr val="CCCCCC"/>
              </a:solidFill>
              <a:prstDash val="dash"/>
            </a:ln>
          </c:spPr>
        </c:majorGridlines>
        <c:title>
          <c:tx>
            <c:rich>
              <a:bodyPr/>
              <a:lstStyle/>
              <a:p>
                <a:r>
                  <a:rPr lang="fr-FR"/>
                  <a:t>N(x) [kN]</a:t>
                </a:r>
              </a:p>
            </c:rich>
          </c:tx>
          <c:layout/>
          <c:overlay val="0"/>
        </c:title>
        <c:numFmt formatCode="0.000" sourceLinked="1"/>
        <c:majorTickMark val="none"/>
        <c:minorTickMark val="none"/>
        <c:tickLblPos val="nextTo"/>
        <c:crossAx val="48650112"/>
        <c:crosses val="autoZero"/>
        <c:crossBetween val="between"/>
      </c:valAx>
    </c:plotArea>
    <c:legend>
      <c:legendPos val="b"/>
      <c:layout/>
      <c:overlay val="0"/>
    </c:legend>
    <c:plotVisOnly val="1"/>
    <c:dispBlanksAs val="zero"/>
    <c:showDLblsOverMax val="1"/>
  </c:chart>
  <c:spPr>
    <a:ln w="9525">
      <a:solidFill>
        <a:srgbClr val="D9D9D9"/>
      </a:solidFill>
      <a:prstDash val="solid"/>
    </a:ln>
  </c:sp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c:style val="2"/>
  <c:chart>
    <c:autoTitleDeleted val="1"/>
    <c:plotArea>
      <c:layout/>
      <c:lineChart>
        <c:grouping val="standard"/>
        <c:varyColors val="1"/>
        <c:ser>
          <c:idx val="0"/>
          <c:order val="0"/>
          <c:tx>
            <c:v>Diagramme de l’effort tranchant T(x)</c:v>
          </c:tx>
          <c:cat>
            <c:numRef>
              <c:f>DIAGRAMMES!$B$24:$B$34</c:f>
              <c:numCache>
                <c:formatCode>0.000</c:formatCode>
                <c:ptCount val="11"/>
                <c:pt idx="0">
                  <c:v>0</c:v>
                </c:pt>
                <c:pt idx="1">
                  <c:v>2</c:v>
                </c:pt>
                <c:pt idx="2">
                  <c:v>4</c:v>
                </c:pt>
                <c:pt idx="3">
                  <c:v>6</c:v>
                </c:pt>
                <c:pt idx="4">
                  <c:v>8</c:v>
                </c:pt>
                <c:pt idx="5">
                  <c:v>10</c:v>
                </c:pt>
                <c:pt idx="6">
                  <c:v>12</c:v>
                </c:pt>
                <c:pt idx="7">
                  <c:v>14</c:v>
                </c:pt>
                <c:pt idx="8">
                  <c:v>16</c:v>
                </c:pt>
                <c:pt idx="9">
                  <c:v>18</c:v>
                </c:pt>
                <c:pt idx="10">
                  <c:v>20</c:v>
                </c:pt>
              </c:numCache>
            </c:numRef>
          </c:cat>
          <c:val>
            <c:numRef>
              <c:f>DIAGRAMMES!$D$24:$D$34</c:f>
              <c:numCache>
                <c:formatCode>0.000</c:formatCode>
                <c:ptCount val="11"/>
                <c:pt idx="0">
                  <c:v>0</c:v>
                </c:pt>
                <c:pt idx="1">
                  <c:v>0</c:v>
                </c:pt>
                <c:pt idx="2">
                  <c:v>-2</c:v>
                </c:pt>
                <c:pt idx="3">
                  <c:v>-4</c:v>
                </c:pt>
                <c:pt idx="4">
                  <c:v>2.3333333333333339</c:v>
                </c:pt>
                <c:pt idx="5">
                  <c:v>0</c:v>
                </c:pt>
                <c:pt idx="6">
                  <c:v>0</c:v>
                </c:pt>
                <c:pt idx="7">
                  <c:v>0</c:v>
                </c:pt>
                <c:pt idx="8">
                  <c:v>0</c:v>
                </c:pt>
                <c:pt idx="9">
                  <c:v>0</c:v>
                </c:pt>
                <c:pt idx="10">
                  <c:v>0</c:v>
                </c:pt>
              </c:numCache>
            </c:numRef>
          </c:val>
          <c:smooth val="0"/>
          <c:extLst>
            <c:ext xmlns:c16="http://schemas.microsoft.com/office/drawing/2014/chart" uri="{C3380CC4-5D6E-409C-BE32-E72D297353CC}">
              <c16:uniqueId val="{00000000-5AD3-4F42-80DE-F80F2111D7BF}"/>
            </c:ext>
          </c:extLst>
        </c:ser>
        <c:dLbls>
          <c:showLegendKey val="0"/>
          <c:showVal val="0"/>
          <c:showCatName val="0"/>
          <c:showSerName val="0"/>
          <c:showPercent val="0"/>
          <c:showBubbleSize val="0"/>
        </c:dLbls>
        <c:marker val="1"/>
        <c:smooth val="0"/>
        <c:axId val="48650112"/>
        <c:axId val="48672768"/>
      </c:lineChart>
      <c:catAx>
        <c:axId val="48650112"/>
        <c:scaling>
          <c:orientation val="minMax"/>
        </c:scaling>
        <c:delete val="0"/>
        <c:axPos val="b"/>
        <c:majorGridlines>
          <c:spPr>
            <a:ln w="9525">
              <a:solidFill>
                <a:srgbClr val="CCCCCC"/>
              </a:solidFill>
              <a:prstDash val="dash"/>
            </a:ln>
          </c:spPr>
        </c:majorGridlines>
        <c:title>
          <c:tx>
            <c:rich>
              <a:bodyPr/>
              <a:lstStyle/>
              <a:p>
                <a:r>
                  <a:rPr lang="fr-FR"/>
                  <a:t>Position x [m]</a:t>
                </a:r>
              </a:p>
            </c:rich>
          </c:tx>
          <c:layout/>
          <c:overlay val="0"/>
        </c:title>
        <c:numFmt formatCode="0.000" sourceLinked="1"/>
        <c:majorTickMark val="none"/>
        <c:minorTickMark val="none"/>
        <c:tickLblPos val="nextTo"/>
        <c:crossAx val="48672768"/>
        <c:crosses val="autoZero"/>
        <c:auto val="1"/>
        <c:lblAlgn val="ctr"/>
        <c:lblOffset val="100"/>
        <c:noMultiLvlLbl val="0"/>
      </c:catAx>
      <c:valAx>
        <c:axId val="48672768"/>
        <c:scaling>
          <c:orientation val="minMax"/>
        </c:scaling>
        <c:delete val="0"/>
        <c:axPos val="l"/>
        <c:majorGridlines>
          <c:spPr>
            <a:ln w="9525">
              <a:solidFill>
                <a:srgbClr val="CCCCCC"/>
              </a:solidFill>
              <a:prstDash val="dash"/>
            </a:ln>
          </c:spPr>
        </c:majorGridlines>
        <c:title>
          <c:tx>
            <c:rich>
              <a:bodyPr/>
              <a:lstStyle/>
              <a:p>
                <a:r>
                  <a:rPr lang="fr-FR"/>
                  <a:t>T(x) [kN]</a:t>
                </a:r>
              </a:p>
            </c:rich>
          </c:tx>
          <c:layout/>
          <c:overlay val="0"/>
        </c:title>
        <c:numFmt formatCode="0.000" sourceLinked="1"/>
        <c:majorTickMark val="none"/>
        <c:minorTickMark val="none"/>
        <c:tickLblPos val="nextTo"/>
        <c:crossAx val="48650112"/>
        <c:crosses val="autoZero"/>
        <c:crossBetween val="between"/>
      </c:valAx>
    </c:plotArea>
    <c:legend>
      <c:legendPos val="b"/>
      <c:layout/>
      <c:overlay val="0"/>
    </c:legend>
    <c:plotVisOnly val="1"/>
    <c:dispBlanksAs val="zero"/>
    <c:showDLblsOverMax val="1"/>
  </c:chart>
  <c:spPr>
    <a:ln w="9525">
      <a:solidFill>
        <a:srgbClr val="D9D9D9"/>
      </a:solidFill>
      <a:prstDash val="solid"/>
    </a:ln>
  </c:sp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c:style val="2"/>
  <c:chart>
    <c:autoTitleDeleted val="1"/>
    <c:plotArea>
      <c:layout/>
      <c:lineChart>
        <c:grouping val="standard"/>
        <c:varyColors val="1"/>
        <c:ser>
          <c:idx val="0"/>
          <c:order val="0"/>
          <c:tx>
            <c:v>Diagramme du moment fléchissant M(x)</c:v>
          </c:tx>
          <c:cat>
            <c:numRef>
              <c:f>DIAGRAMMES!$B$24:$B$34</c:f>
              <c:numCache>
                <c:formatCode>0.000</c:formatCode>
                <c:ptCount val="11"/>
                <c:pt idx="0">
                  <c:v>0</c:v>
                </c:pt>
                <c:pt idx="1">
                  <c:v>2</c:v>
                </c:pt>
                <c:pt idx="2">
                  <c:v>4</c:v>
                </c:pt>
                <c:pt idx="3">
                  <c:v>6</c:v>
                </c:pt>
                <c:pt idx="4">
                  <c:v>8</c:v>
                </c:pt>
                <c:pt idx="5">
                  <c:v>10</c:v>
                </c:pt>
                <c:pt idx="6">
                  <c:v>12</c:v>
                </c:pt>
                <c:pt idx="7">
                  <c:v>14</c:v>
                </c:pt>
                <c:pt idx="8">
                  <c:v>16</c:v>
                </c:pt>
                <c:pt idx="9">
                  <c:v>18</c:v>
                </c:pt>
                <c:pt idx="10">
                  <c:v>20</c:v>
                </c:pt>
              </c:numCache>
            </c:numRef>
          </c:cat>
          <c:val>
            <c:numRef>
              <c:f>DIAGRAMMES!$E$24:$E$34</c:f>
              <c:numCache>
                <c:formatCode>0.000</c:formatCode>
                <c:ptCount val="11"/>
                <c:pt idx="0">
                  <c:v>0</c:v>
                </c:pt>
                <c:pt idx="1">
                  <c:v>0</c:v>
                </c:pt>
                <c:pt idx="2">
                  <c:v>-1</c:v>
                </c:pt>
                <c:pt idx="3">
                  <c:v>-8</c:v>
                </c:pt>
                <c:pt idx="4">
                  <c:v>-4.6666666666666661</c:v>
                </c:pt>
                <c:pt idx="5">
                  <c:v>0</c:v>
                </c:pt>
                <c:pt idx="6">
                  <c:v>7.1054273576010019E-15</c:v>
                </c:pt>
                <c:pt idx="7">
                  <c:v>1.4210854715202004E-14</c:v>
                </c:pt>
                <c:pt idx="8">
                  <c:v>0</c:v>
                </c:pt>
                <c:pt idx="9">
                  <c:v>0</c:v>
                </c:pt>
                <c:pt idx="10">
                  <c:v>0</c:v>
                </c:pt>
              </c:numCache>
            </c:numRef>
          </c:val>
          <c:smooth val="0"/>
          <c:extLst>
            <c:ext xmlns:c16="http://schemas.microsoft.com/office/drawing/2014/chart" uri="{C3380CC4-5D6E-409C-BE32-E72D297353CC}">
              <c16:uniqueId val="{00000000-2965-4A23-AAD7-32CF852313CC}"/>
            </c:ext>
          </c:extLst>
        </c:ser>
        <c:dLbls>
          <c:showLegendKey val="0"/>
          <c:showVal val="0"/>
          <c:showCatName val="0"/>
          <c:showSerName val="0"/>
          <c:showPercent val="0"/>
          <c:showBubbleSize val="0"/>
        </c:dLbls>
        <c:marker val="1"/>
        <c:smooth val="0"/>
        <c:axId val="48650112"/>
        <c:axId val="48672768"/>
      </c:lineChart>
      <c:catAx>
        <c:axId val="48650112"/>
        <c:scaling>
          <c:orientation val="minMax"/>
        </c:scaling>
        <c:delete val="0"/>
        <c:axPos val="b"/>
        <c:majorGridlines>
          <c:spPr>
            <a:ln w="9525">
              <a:solidFill>
                <a:srgbClr val="CCCCCC"/>
              </a:solidFill>
              <a:prstDash val="dash"/>
            </a:ln>
          </c:spPr>
        </c:majorGridlines>
        <c:title>
          <c:tx>
            <c:rich>
              <a:bodyPr/>
              <a:lstStyle/>
              <a:p>
                <a:r>
                  <a:rPr lang="fr-FR"/>
                  <a:t>Position x [m]</a:t>
                </a:r>
              </a:p>
            </c:rich>
          </c:tx>
          <c:layout/>
          <c:overlay val="0"/>
        </c:title>
        <c:numFmt formatCode="0.000" sourceLinked="1"/>
        <c:majorTickMark val="none"/>
        <c:minorTickMark val="none"/>
        <c:tickLblPos val="nextTo"/>
        <c:crossAx val="48672768"/>
        <c:crosses val="autoZero"/>
        <c:auto val="1"/>
        <c:lblAlgn val="ctr"/>
        <c:lblOffset val="100"/>
        <c:noMultiLvlLbl val="0"/>
      </c:catAx>
      <c:valAx>
        <c:axId val="48672768"/>
        <c:scaling>
          <c:orientation val="minMax"/>
        </c:scaling>
        <c:delete val="0"/>
        <c:axPos val="l"/>
        <c:majorGridlines>
          <c:spPr>
            <a:ln w="9525">
              <a:solidFill>
                <a:srgbClr val="CCCCCC"/>
              </a:solidFill>
              <a:prstDash val="dash"/>
            </a:ln>
          </c:spPr>
        </c:majorGridlines>
        <c:title>
          <c:tx>
            <c:rich>
              <a:bodyPr/>
              <a:lstStyle/>
              <a:p>
                <a:r>
                  <a:rPr lang="fr-FR"/>
                  <a:t>M(x) [kN.m]</a:t>
                </a:r>
              </a:p>
            </c:rich>
          </c:tx>
          <c:layout/>
          <c:overlay val="0"/>
        </c:title>
        <c:numFmt formatCode="0.000" sourceLinked="1"/>
        <c:majorTickMark val="none"/>
        <c:minorTickMark val="none"/>
        <c:tickLblPos val="nextTo"/>
        <c:crossAx val="48650112"/>
        <c:crosses val="autoZero"/>
        <c:crossBetween val="between"/>
      </c:valAx>
    </c:plotArea>
    <c:legend>
      <c:legendPos val="b"/>
      <c:layout/>
      <c:overlay val="0"/>
    </c:legend>
    <c:plotVisOnly val="1"/>
    <c:dispBlanksAs val="zero"/>
    <c:showDLblsOverMax val="1"/>
  </c:chart>
  <c:spPr>
    <a:ln w="9525">
      <a:solidFill>
        <a:srgbClr val="D9D9D9"/>
      </a:solidFill>
      <a:prstDash val="solid"/>
    </a:ln>
  </c:spPr>
  <c:printSettings>
    <c:headerFooter/>
    <c:pageMargins b="0.75" l="0.7" r="0.7" t="0.75" header="0.3" footer="0.3"/>
    <c:pageSetup/>
  </c:printSettings>
</c:chartSpace>
</file>

<file path=xl/drawings/_rels/drawing5.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0</xdr:col>
      <xdr:colOff>1055077</xdr:colOff>
      <xdr:row>8</xdr:row>
      <xdr:rowOff>205154</xdr:rowOff>
    </xdr:from>
    <xdr:to>
      <xdr:col>3</xdr:col>
      <xdr:colOff>1035538</xdr:colOff>
      <xdr:row>12</xdr:row>
      <xdr:rowOff>9769</xdr:rowOff>
    </xdr:to>
    <xdr:sp macro="[0]!AllerStructure" textlink="">
      <xdr:nvSpPr>
        <xdr:cNvPr id="2" name="Rectangle 1"/>
        <xdr:cNvSpPr/>
      </xdr:nvSpPr>
      <xdr:spPr>
        <a:xfrm>
          <a:off x="1055077" y="2002692"/>
          <a:ext cx="3174999" cy="70338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FR" sz="1500" b="1">
              <a:solidFill>
                <a:schemeClr val="bg1"/>
              </a:solidFill>
            </a:rPr>
            <a:t>DEFINIR</a:t>
          </a:r>
          <a:r>
            <a:rPr lang="fr-FR" sz="1500" b="1" baseline="0">
              <a:solidFill>
                <a:schemeClr val="bg1"/>
              </a:solidFill>
            </a:rPr>
            <a:t> LA STRUCTURE</a:t>
          </a:r>
          <a:endParaRPr lang="fr-FR" sz="1500" b="1">
            <a:solidFill>
              <a:schemeClr val="bg1"/>
            </a:solidFill>
          </a:endParaRPr>
        </a:p>
      </xdr:txBody>
    </xdr:sp>
    <xdr:clientData/>
  </xdr:twoCellAnchor>
  <xdr:twoCellAnchor>
    <xdr:from>
      <xdr:col>4</xdr:col>
      <xdr:colOff>25401</xdr:colOff>
      <xdr:row>8</xdr:row>
      <xdr:rowOff>201246</xdr:rowOff>
    </xdr:from>
    <xdr:to>
      <xdr:col>6</xdr:col>
      <xdr:colOff>1035539</xdr:colOff>
      <xdr:row>12</xdr:row>
      <xdr:rowOff>5861</xdr:rowOff>
    </xdr:to>
    <xdr:sp macro="[0]!AllerCharges" textlink="">
      <xdr:nvSpPr>
        <xdr:cNvPr id="3" name="Rectangle 2"/>
        <xdr:cNvSpPr/>
      </xdr:nvSpPr>
      <xdr:spPr>
        <a:xfrm>
          <a:off x="4284786" y="1998784"/>
          <a:ext cx="3139830" cy="703385"/>
        </a:xfrm>
        <a:prstGeom prst="rect">
          <a:avLst/>
        </a:prstGeom>
        <a:solidFill>
          <a:srgbClr val="00B05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FR" sz="1500" b="1">
              <a:solidFill>
                <a:schemeClr val="bg1"/>
              </a:solidFill>
            </a:rPr>
            <a:t>AJOUTER</a:t>
          </a:r>
          <a:r>
            <a:rPr lang="fr-FR" sz="1500" b="1" baseline="0">
              <a:solidFill>
                <a:schemeClr val="bg1"/>
              </a:solidFill>
            </a:rPr>
            <a:t> LES CHARGES</a:t>
          </a:r>
          <a:endParaRPr lang="fr-FR" sz="1500" b="1">
            <a:solidFill>
              <a:schemeClr val="bg1"/>
            </a:solidFill>
          </a:endParaRPr>
        </a:p>
      </xdr:txBody>
    </xdr:sp>
    <xdr:clientData/>
  </xdr:twoCellAnchor>
  <xdr:twoCellAnchor>
    <xdr:from>
      <xdr:col>7</xdr:col>
      <xdr:colOff>25402</xdr:colOff>
      <xdr:row>8</xdr:row>
      <xdr:rowOff>201246</xdr:rowOff>
    </xdr:from>
    <xdr:to>
      <xdr:col>11</xdr:col>
      <xdr:colOff>39077</xdr:colOff>
      <xdr:row>12</xdr:row>
      <xdr:rowOff>5861</xdr:rowOff>
    </xdr:to>
    <xdr:sp macro="[0]!AllerResultats" textlink="">
      <xdr:nvSpPr>
        <xdr:cNvPr id="4" name="Rectangle 3"/>
        <xdr:cNvSpPr/>
      </xdr:nvSpPr>
      <xdr:spPr>
        <a:xfrm>
          <a:off x="7479325" y="1998784"/>
          <a:ext cx="4273060" cy="703385"/>
        </a:xfrm>
        <a:prstGeom prst="rect">
          <a:avLst/>
        </a:prstGeom>
        <a:solidFill>
          <a:srgbClr val="FFC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FR" sz="1500" b="1">
              <a:solidFill>
                <a:schemeClr val="bg1"/>
              </a:solidFill>
            </a:rPr>
            <a:t>VOIR</a:t>
          </a:r>
          <a:r>
            <a:rPr lang="fr-FR" sz="1500" b="1" baseline="0">
              <a:solidFill>
                <a:schemeClr val="bg1"/>
              </a:solidFill>
            </a:rPr>
            <a:t> LES RESULTATS</a:t>
          </a:r>
          <a:endParaRPr lang="fr-FR" sz="1500" b="1">
            <a:solidFill>
              <a:schemeClr val="bg1"/>
            </a:solidFill>
          </a:endParaRP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4</xdr:col>
      <xdr:colOff>0</xdr:colOff>
      <xdr:row>5</xdr:row>
      <xdr:rowOff>210553</xdr:rowOff>
    </xdr:from>
    <xdr:to>
      <xdr:col>7</xdr:col>
      <xdr:colOff>762000</xdr:colOff>
      <xdr:row>7</xdr:row>
      <xdr:rowOff>210553</xdr:rowOff>
    </xdr:to>
    <xdr:sp macro="[0]!ReinitialiserStructure" textlink="">
      <xdr:nvSpPr>
        <xdr:cNvPr id="3" name="Rectangle 2"/>
        <xdr:cNvSpPr/>
      </xdr:nvSpPr>
      <xdr:spPr>
        <a:xfrm>
          <a:off x="3820026" y="1554079"/>
          <a:ext cx="3739816" cy="441158"/>
        </a:xfrm>
        <a:prstGeom prst="rect">
          <a:avLst/>
        </a:prstGeom>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ctr"/>
        <a:lstStyle/>
        <a:p>
          <a:pPr algn="ctr"/>
          <a:r>
            <a:rPr lang="fr-FR" sz="1400" b="1">
              <a:solidFill>
                <a:schemeClr val="bg1"/>
              </a:solidFill>
            </a:rPr>
            <a:t>Netoyer structure </a:t>
          </a:r>
        </a:p>
      </xdr:txBody>
    </xdr:sp>
    <xdr:clientData/>
  </xdr:twoCellAnchor>
  <xdr:twoCellAnchor>
    <xdr:from>
      <xdr:col>7</xdr:col>
      <xdr:colOff>812132</xdr:colOff>
      <xdr:row>5</xdr:row>
      <xdr:rowOff>212559</xdr:rowOff>
    </xdr:from>
    <xdr:to>
      <xdr:col>9</xdr:col>
      <xdr:colOff>2105526</xdr:colOff>
      <xdr:row>7</xdr:row>
      <xdr:rowOff>212559</xdr:rowOff>
    </xdr:to>
    <xdr:sp macro="[0]!ValiderDonneesStructure" textlink="">
      <xdr:nvSpPr>
        <xdr:cNvPr id="5" name="Rectangle 4"/>
        <xdr:cNvSpPr/>
      </xdr:nvSpPr>
      <xdr:spPr>
        <a:xfrm>
          <a:off x="7609974" y="1556085"/>
          <a:ext cx="3809999" cy="441158"/>
        </a:xfrm>
        <a:prstGeom prst="rect">
          <a:avLst/>
        </a:prstGeom>
        <a:solidFill>
          <a:srgbClr val="00B050"/>
        </a:solidFill>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ctr"/>
        <a:lstStyle/>
        <a:p>
          <a:pPr algn="ctr"/>
          <a:r>
            <a:rPr lang="fr-FR" sz="1400" b="1">
              <a:solidFill>
                <a:schemeClr val="bg1"/>
              </a:solidFill>
            </a:rPr>
            <a:t>Verifier</a:t>
          </a:r>
          <a:r>
            <a:rPr lang="fr-FR" sz="1400" b="1" baseline="0">
              <a:solidFill>
                <a:schemeClr val="bg1"/>
              </a:solidFill>
            </a:rPr>
            <a:t> structure</a:t>
          </a:r>
          <a:r>
            <a:rPr lang="fr-FR" sz="1400" b="1">
              <a:solidFill>
                <a:schemeClr val="bg1"/>
              </a:solidFill>
            </a:rPr>
            <a:t> </a:t>
          </a:r>
        </a:p>
      </xdr:txBody>
    </xdr:sp>
    <xdr:clientData/>
  </xdr:twoCellAnchor>
  <xdr:twoCellAnchor>
    <xdr:from>
      <xdr:col>9</xdr:col>
      <xdr:colOff>651711</xdr:colOff>
      <xdr:row>7</xdr:row>
      <xdr:rowOff>60158</xdr:rowOff>
    </xdr:from>
    <xdr:to>
      <xdr:col>9</xdr:col>
      <xdr:colOff>697430</xdr:colOff>
      <xdr:row>7</xdr:row>
      <xdr:rowOff>105877</xdr:rowOff>
    </xdr:to>
    <xdr:sp macro="" textlink="">
      <xdr:nvSpPr>
        <xdr:cNvPr id="4" name="Rectangle 3"/>
        <xdr:cNvSpPr/>
      </xdr:nvSpPr>
      <xdr:spPr>
        <a:xfrm>
          <a:off x="9966158" y="1844842"/>
          <a:ext cx="45719" cy="45719"/>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1</xdr:col>
      <xdr:colOff>90238</xdr:colOff>
      <xdr:row>5</xdr:row>
      <xdr:rowOff>200527</xdr:rowOff>
    </xdr:from>
    <xdr:to>
      <xdr:col>3</xdr:col>
      <xdr:colOff>1163053</xdr:colOff>
      <xdr:row>7</xdr:row>
      <xdr:rowOff>216569</xdr:rowOff>
    </xdr:to>
    <xdr:sp macro="[0]!AllerAccueil" textlink="">
      <xdr:nvSpPr>
        <xdr:cNvPr id="6" name="Rectangle 5"/>
        <xdr:cNvSpPr/>
      </xdr:nvSpPr>
      <xdr:spPr>
        <a:xfrm>
          <a:off x="320843" y="1544053"/>
          <a:ext cx="3439026" cy="457200"/>
        </a:xfrm>
        <a:prstGeom prst="rect">
          <a:avLst/>
        </a:prstGeom>
        <a:effectLst>
          <a:softEdge rad="76200"/>
        </a:effectLst>
      </xdr:spPr>
      <xdr:style>
        <a:lnRef idx="3">
          <a:schemeClr val="lt1"/>
        </a:lnRef>
        <a:fillRef idx="1">
          <a:schemeClr val="accent4"/>
        </a:fillRef>
        <a:effectRef idx="1">
          <a:schemeClr val="accent4"/>
        </a:effectRef>
        <a:fontRef idx="minor">
          <a:schemeClr val="lt1"/>
        </a:fontRef>
      </xdr:style>
      <xdr:txBody>
        <a:bodyPr vertOverflow="clip" horzOverflow="clip" rtlCol="0" anchor="ctr"/>
        <a:lstStyle/>
        <a:p>
          <a:pPr algn="ctr"/>
          <a:r>
            <a:rPr lang="fr-FR" sz="1100" b="1"/>
            <a:t>← Aller</a:t>
          </a:r>
          <a:r>
            <a:rPr lang="fr-FR" sz="1100" b="1" baseline="0"/>
            <a:t> Accueil</a:t>
          </a:r>
        </a:p>
      </xdr:txBody>
    </xdr:sp>
    <xdr:clientData/>
  </xdr:twoCellAnchor>
  <xdr:twoCellAnchor>
    <xdr:from>
      <xdr:col>10</xdr:col>
      <xdr:colOff>20052</xdr:colOff>
      <xdr:row>5</xdr:row>
      <xdr:rowOff>200527</xdr:rowOff>
    </xdr:from>
    <xdr:to>
      <xdr:col>12</xdr:col>
      <xdr:colOff>1092867</xdr:colOff>
      <xdr:row>7</xdr:row>
      <xdr:rowOff>216569</xdr:rowOff>
    </xdr:to>
    <xdr:sp macro="[0]!AllerCharges" textlink="">
      <xdr:nvSpPr>
        <xdr:cNvPr id="7" name="Rectangle 6"/>
        <xdr:cNvSpPr/>
      </xdr:nvSpPr>
      <xdr:spPr>
        <a:xfrm>
          <a:off x="11470105" y="1544053"/>
          <a:ext cx="3519236" cy="457200"/>
        </a:xfrm>
        <a:prstGeom prst="rect">
          <a:avLst/>
        </a:prstGeom>
        <a:solidFill>
          <a:srgbClr val="E0E03C"/>
        </a:solidFill>
        <a:effectLst>
          <a:softEdge rad="76200"/>
        </a:effectLst>
      </xdr:spPr>
      <xdr:style>
        <a:lnRef idx="3">
          <a:schemeClr val="lt1"/>
        </a:lnRef>
        <a:fillRef idx="1">
          <a:schemeClr val="accent4"/>
        </a:fillRef>
        <a:effectRef idx="1">
          <a:schemeClr val="accent4"/>
        </a:effectRef>
        <a:fontRef idx="minor">
          <a:schemeClr val="lt1"/>
        </a:fontRef>
      </xdr:style>
      <xdr:txBody>
        <a:bodyPr vertOverflow="clip" horzOverflow="clip" rtlCol="0" anchor="ctr"/>
        <a:lstStyle/>
        <a:p>
          <a:pPr algn="ctr"/>
          <a:r>
            <a:rPr lang="fr-FR" sz="1100" b="1" baseline="0"/>
            <a:t>Aller charges →</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3</xdr:col>
      <xdr:colOff>982980</xdr:colOff>
      <xdr:row>6</xdr:row>
      <xdr:rowOff>7620</xdr:rowOff>
    </xdr:from>
    <xdr:to>
      <xdr:col>9</xdr:col>
      <xdr:colOff>7620</xdr:colOff>
      <xdr:row>7</xdr:row>
      <xdr:rowOff>213360</xdr:rowOff>
    </xdr:to>
    <xdr:sp macro="[0]!ReinitialiserCharges" textlink="">
      <xdr:nvSpPr>
        <xdr:cNvPr id="2" name="Rectangle 1"/>
        <xdr:cNvSpPr/>
      </xdr:nvSpPr>
      <xdr:spPr>
        <a:xfrm>
          <a:off x="3421380" y="1333500"/>
          <a:ext cx="6797040" cy="426720"/>
        </a:xfrm>
        <a:prstGeom prst="rect">
          <a:avLst/>
        </a:prstGeom>
        <a:solidFill>
          <a:schemeClr val="accent2"/>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FR" sz="1300" b="1">
              <a:solidFill>
                <a:schemeClr val="bg1"/>
              </a:solidFill>
            </a:rPr>
            <a:t>Netoyer</a:t>
          </a:r>
          <a:r>
            <a:rPr lang="fr-FR" sz="1300" b="1" baseline="0">
              <a:solidFill>
                <a:schemeClr val="bg1"/>
              </a:solidFill>
            </a:rPr>
            <a:t> charges</a:t>
          </a:r>
        </a:p>
      </xdr:txBody>
    </xdr:sp>
    <xdr:clientData/>
  </xdr:twoCellAnchor>
  <xdr:twoCellAnchor>
    <xdr:from>
      <xdr:col>1</xdr:col>
      <xdr:colOff>87086</xdr:colOff>
      <xdr:row>6</xdr:row>
      <xdr:rowOff>0</xdr:rowOff>
    </xdr:from>
    <xdr:to>
      <xdr:col>3</xdr:col>
      <xdr:colOff>925285</xdr:colOff>
      <xdr:row>8</xdr:row>
      <xdr:rowOff>21772</xdr:rowOff>
    </xdr:to>
    <xdr:sp macro="[0]!AllerStructure" textlink="">
      <xdr:nvSpPr>
        <xdr:cNvPr id="3" name="Rectangle 2"/>
        <xdr:cNvSpPr/>
      </xdr:nvSpPr>
      <xdr:spPr>
        <a:xfrm>
          <a:off x="315686" y="1306286"/>
          <a:ext cx="3047999" cy="457200"/>
        </a:xfrm>
        <a:prstGeom prst="rect">
          <a:avLst/>
        </a:prstGeom>
        <a:effectLst>
          <a:softEdge rad="76200"/>
        </a:effectLst>
      </xdr:spPr>
      <xdr:style>
        <a:lnRef idx="3">
          <a:schemeClr val="lt1"/>
        </a:lnRef>
        <a:fillRef idx="1">
          <a:schemeClr val="accent4"/>
        </a:fillRef>
        <a:effectRef idx="1">
          <a:schemeClr val="accent4"/>
        </a:effectRef>
        <a:fontRef idx="minor">
          <a:schemeClr val="lt1"/>
        </a:fontRef>
      </xdr:style>
      <xdr:txBody>
        <a:bodyPr vertOverflow="clip" horzOverflow="clip" rtlCol="0" anchor="ctr"/>
        <a:lstStyle/>
        <a:p>
          <a:pPr algn="ctr"/>
          <a:r>
            <a:rPr lang="fr-FR" sz="1100" b="1"/>
            <a:t>← Aller</a:t>
          </a:r>
          <a:r>
            <a:rPr lang="fr-FR" sz="1100" b="1" baseline="0"/>
            <a:t> Structure</a:t>
          </a:r>
        </a:p>
      </xdr:txBody>
    </xdr:sp>
    <xdr:clientData/>
  </xdr:twoCellAnchor>
  <xdr:twoCellAnchor>
    <xdr:from>
      <xdr:col>9</xdr:col>
      <xdr:colOff>32658</xdr:colOff>
      <xdr:row>6</xdr:row>
      <xdr:rowOff>10886</xdr:rowOff>
    </xdr:from>
    <xdr:to>
      <xdr:col>10</xdr:col>
      <xdr:colOff>1611086</xdr:colOff>
      <xdr:row>8</xdr:row>
      <xdr:rowOff>32658</xdr:rowOff>
    </xdr:to>
    <xdr:sp macro="[0]!AllerResultats" textlink="">
      <xdr:nvSpPr>
        <xdr:cNvPr id="8" name="Rectangle 7"/>
        <xdr:cNvSpPr/>
      </xdr:nvSpPr>
      <xdr:spPr>
        <a:xfrm>
          <a:off x="10243458" y="1317172"/>
          <a:ext cx="2950028" cy="457200"/>
        </a:xfrm>
        <a:prstGeom prst="rect">
          <a:avLst/>
        </a:prstGeom>
        <a:solidFill>
          <a:srgbClr val="E0E03C"/>
        </a:solidFill>
        <a:effectLst>
          <a:softEdge rad="76200"/>
        </a:effectLst>
      </xdr:spPr>
      <xdr:style>
        <a:lnRef idx="3">
          <a:schemeClr val="lt1"/>
        </a:lnRef>
        <a:fillRef idx="1">
          <a:schemeClr val="accent4"/>
        </a:fillRef>
        <a:effectRef idx="1">
          <a:schemeClr val="accent4"/>
        </a:effectRef>
        <a:fontRef idx="minor">
          <a:schemeClr val="lt1"/>
        </a:fontRef>
      </xdr:style>
      <xdr:txBody>
        <a:bodyPr vertOverflow="clip" horzOverflow="clip" rtlCol="0" anchor="ctr"/>
        <a:lstStyle/>
        <a:p>
          <a:pPr algn="ctr"/>
          <a:r>
            <a:rPr lang="fr-FR" sz="1100" b="1"/>
            <a:t>Aller</a:t>
          </a:r>
          <a:r>
            <a:rPr lang="fr-FR" sz="1100" b="1" baseline="0"/>
            <a:t> resultats →</a:t>
          </a:r>
          <a:endParaRPr lang="fr-FR" sz="1100" b="1"/>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2</xdr:col>
      <xdr:colOff>350520</xdr:colOff>
      <xdr:row>6</xdr:row>
      <xdr:rowOff>0</xdr:rowOff>
    </xdr:from>
    <xdr:to>
      <xdr:col>6</xdr:col>
      <xdr:colOff>38100</xdr:colOff>
      <xdr:row>7</xdr:row>
      <xdr:rowOff>205740</xdr:rowOff>
    </xdr:to>
    <xdr:sp macro="[0]!ReinitialiserResultats" textlink="">
      <xdr:nvSpPr>
        <xdr:cNvPr id="2" name="Rectangle 1"/>
        <xdr:cNvSpPr/>
      </xdr:nvSpPr>
      <xdr:spPr>
        <a:xfrm>
          <a:off x="1798320" y="1325880"/>
          <a:ext cx="2895600" cy="426720"/>
        </a:xfrm>
        <a:prstGeom prst="rect">
          <a:avLst/>
        </a:prstGeom>
        <a:solidFill>
          <a:schemeClr val="accent2"/>
        </a:solidFill>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ctr"/>
        <a:lstStyle/>
        <a:p>
          <a:pPr algn="ctr"/>
          <a:r>
            <a:rPr lang="fr-FR" sz="1300" b="1" baseline="0"/>
            <a:t>Netoyer les resulatats </a:t>
          </a:r>
        </a:p>
      </xdr:txBody>
    </xdr:sp>
    <xdr:clientData/>
  </xdr:twoCellAnchor>
  <xdr:twoCellAnchor>
    <xdr:from>
      <xdr:col>1</xdr:col>
      <xdr:colOff>7620</xdr:colOff>
      <xdr:row>6</xdr:row>
      <xdr:rowOff>0</xdr:rowOff>
    </xdr:from>
    <xdr:to>
      <xdr:col>2</xdr:col>
      <xdr:colOff>342900</xdr:colOff>
      <xdr:row>8</xdr:row>
      <xdr:rowOff>15240</xdr:rowOff>
    </xdr:to>
    <xdr:sp macro="[0]!AllerCharges" textlink="">
      <xdr:nvSpPr>
        <xdr:cNvPr id="3" name="Rectangle 2"/>
        <xdr:cNvSpPr/>
      </xdr:nvSpPr>
      <xdr:spPr>
        <a:xfrm>
          <a:off x="236220" y="1325880"/>
          <a:ext cx="1554480" cy="457200"/>
        </a:xfrm>
        <a:prstGeom prst="rect">
          <a:avLst/>
        </a:prstGeom>
        <a:effectLst>
          <a:softEdge rad="76200"/>
        </a:effectLst>
      </xdr:spPr>
      <xdr:style>
        <a:lnRef idx="3">
          <a:schemeClr val="lt1"/>
        </a:lnRef>
        <a:fillRef idx="1">
          <a:schemeClr val="accent4"/>
        </a:fillRef>
        <a:effectRef idx="1">
          <a:schemeClr val="accent4"/>
        </a:effectRef>
        <a:fontRef idx="minor">
          <a:schemeClr val="lt1"/>
        </a:fontRef>
      </xdr:style>
      <xdr:txBody>
        <a:bodyPr vertOverflow="clip" horzOverflow="clip" rtlCol="0" anchor="ctr"/>
        <a:lstStyle/>
        <a:p>
          <a:pPr algn="ctr"/>
          <a:r>
            <a:rPr lang="fr-FR" sz="1100" b="1"/>
            <a:t>← Aller</a:t>
          </a:r>
          <a:r>
            <a:rPr lang="fr-FR" sz="1100" b="1" baseline="0"/>
            <a:t> charges</a:t>
          </a:r>
          <a:endParaRPr lang="fr-FR" sz="1100" b="1"/>
        </a:p>
      </xdr:txBody>
    </xdr:sp>
    <xdr:clientData/>
  </xdr:twoCellAnchor>
  <xdr:twoCellAnchor>
    <xdr:from>
      <xdr:col>6</xdr:col>
      <xdr:colOff>83820</xdr:colOff>
      <xdr:row>6</xdr:row>
      <xdr:rowOff>0</xdr:rowOff>
    </xdr:from>
    <xdr:to>
      <xdr:col>8</xdr:col>
      <xdr:colOff>586740</xdr:colOff>
      <xdr:row>7</xdr:row>
      <xdr:rowOff>205740</xdr:rowOff>
    </xdr:to>
    <xdr:sp macro="[0]!CalculerStructure" textlink="">
      <xdr:nvSpPr>
        <xdr:cNvPr id="5" name="Rectangle 4"/>
        <xdr:cNvSpPr/>
      </xdr:nvSpPr>
      <xdr:spPr>
        <a:xfrm>
          <a:off x="4739640" y="1325880"/>
          <a:ext cx="2941320" cy="426720"/>
        </a:xfrm>
        <a:prstGeom prst="rect">
          <a:avLst/>
        </a:prstGeom>
        <a:solidFill>
          <a:srgbClr val="00B050"/>
        </a:solidFill>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ctr"/>
        <a:lstStyle/>
        <a:p>
          <a:pPr algn="ctr"/>
          <a:r>
            <a:rPr lang="fr-FR" sz="1300" b="1" baseline="0"/>
            <a:t>Calculer la structure </a:t>
          </a:r>
        </a:p>
      </xdr:txBody>
    </xdr:sp>
    <xdr:clientData/>
  </xdr:twoCellAnchor>
  <xdr:twoCellAnchor>
    <xdr:from>
      <xdr:col>8</xdr:col>
      <xdr:colOff>609600</xdr:colOff>
      <xdr:row>6</xdr:row>
      <xdr:rowOff>7620</xdr:rowOff>
    </xdr:from>
    <xdr:to>
      <xdr:col>9</xdr:col>
      <xdr:colOff>1082040</xdr:colOff>
      <xdr:row>8</xdr:row>
      <xdr:rowOff>22860</xdr:rowOff>
    </xdr:to>
    <xdr:sp macro="[0]!AllerDiagrammes" textlink="">
      <xdr:nvSpPr>
        <xdr:cNvPr id="7" name="Rectangle 6"/>
        <xdr:cNvSpPr/>
      </xdr:nvSpPr>
      <xdr:spPr>
        <a:xfrm>
          <a:off x="7703820" y="1333500"/>
          <a:ext cx="1615440" cy="457200"/>
        </a:xfrm>
        <a:prstGeom prst="rect">
          <a:avLst/>
        </a:prstGeom>
        <a:solidFill>
          <a:srgbClr val="E0E03C"/>
        </a:solidFill>
        <a:effectLst>
          <a:softEdge rad="76200"/>
        </a:effectLst>
      </xdr:spPr>
      <xdr:style>
        <a:lnRef idx="3">
          <a:schemeClr val="lt1"/>
        </a:lnRef>
        <a:fillRef idx="1">
          <a:schemeClr val="accent4"/>
        </a:fillRef>
        <a:effectRef idx="1">
          <a:schemeClr val="accent4"/>
        </a:effectRef>
        <a:fontRef idx="minor">
          <a:schemeClr val="lt1"/>
        </a:fontRef>
      </xdr:style>
      <xdr:txBody>
        <a:bodyPr vertOverflow="clip" horzOverflow="clip" rtlCol="0" anchor="ctr"/>
        <a:lstStyle/>
        <a:p>
          <a:pPr algn="ctr"/>
          <a:r>
            <a:rPr lang="fr-FR" sz="1100" b="1" baseline="0"/>
            <a:t>Aller diagrammes →</a:t>
          </a:r>
          <a:endParaRPr lang="fr-FR" sz="1100" b="1"/>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6</xdr:col>
      <xdr:colOff>0</xdr:colOff>
      <xdr:row>23</xdr:row>
      <xdr:rowOff>0</xdr:rowOff>
    </xdr:from>
    <xdr:to>
      <xdr:col>10</xdr:col>
      <xdr:colOff>0</xdr:colOff>
      <xdr:row>43</xdr:row>
      <xdr:rowOff>0</xdr:rowOff>
    </xdr:to>
    <xdr:graphicFrame macro="">
      <xdr:nvGraphicFramePr>
        <xdr:cNvPr id="2" name="Chart"/>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0</xdr:colOff>
      <xdr:row>44</xdr:row>
      <xdr:rowOff>0</xdr:rowOff>
    </xdr:from>
    <xdr:to>
      <xdr:col>10</xdr:col>
      <xdr:colOff>0</xdr:colOff>
      <xdr:row>64</xdr:row>
      <xdr:rowOff>0</xdr:rowOff>
    </xdr:to>
    <xdr:graphicFrame macro="">
      <xdr:nvGraphicFramePr>
        <xdr:cNvPr id="3" name="Chart"/>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6</xdr:col>
      <xdr:colOff>0</xdr:colOff>
      <xdr:row>65</xdr:row>
      <xdr:rowOff>0</xdr:rowOff>
    </xdr:from>
    <xdr:to>
      <xdr:col>10</xdr:col>
      <xdr:colOff>0</xdr:colOff>
      <xdr:row>85</xdr:row>
      <xdr:rowOff>0</xdr:rowOff>
    </xdr:to>
    <xdr:graphicFrame macro="">
      <xdr:nvGraphicFramePr>
        <xdr:cNvPr id="4" name="Chart"/>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xdr:col>
      <xdr:colOff>57150</xdr:colOff>
      <xdr:row>6</xdr:row>
      <xdr:rowOff>9525</xdr:rowOff>
    </xdr:from>
    <xdr:to>
      <xdr:col>2</xdr:col>
      <xdr:colOff>1085849</xdr:colOff>
      <xdr:row>7</xdr:row>
      <xdr:rowOff>209550</xdr:rowOff>
    </xdr:to>
    <xdr:sp macro="[0]!AllerResultats" textlink="">
      <xdr:nvSpPr>
        <xdr:cNvPr id="6" name="Rectangle 5"/>
        <xdr:cNvSpPr/>
      </xdr:nvSpPr>
      <xdr:spPr>
        <a:xfrm>
          <a:off x="285750" y="1495425"/>
          <a:ext cx="2171699" cy="457200"/>
        </a:xfrm>
        <a:prstGeom prst="rect">
          <a:avLst/>
        </a:prstGeom>
        <a:effectLst>
          <a:softEdge rad="76200"/>
        </a:effectLst>
      </xdr:spPr>
      <xdr:style>
        <a:lnRef idx="3">
          <a:schemeClr val="lt1"/>
        </a:lnRef>
        <a:fillRef idx="1">
          <a:schemeClr val="accent4"/>
        </a:fillRef>
        <a:effectRef idx="1">
          <a:schemeClr val="accent4"/>
        </a:effectRef>
        <a:fontRef idx="minor">
          <a:schemeClr val="lt1"/>
        </a:fontRef>
      </xdr:style>
      <xdr:txBody>
        <a:bodyPr vertOverflow="clip" horzOverflow="clip" rtlCol="0" anchor="ctr"/>
        <a:lstStyle/>
        <a:p>
          <a:pPr algn="ctr"/>
          <a:r>
            <a:rPr lang="fr-FR" sz="1100" b="1"/>
            <a:t>← Aller</a:t>
          </a:r>
          <a:r>
            <a:rPr lang="fr-FR" sz="1100" b="1" baseline="0"/>
            <a:t> resultats</a:t>
          </a:r>
        </a:p>
      </xdr:txBody>
    </xdr:sp>
    <xdr:clientData/>
  </xdr:twoCellAnchor>
  <xdr:twoCellAnchor>
    <xdr:from>
      <xdr:col>6</xdr:col>
      <xdr:colOff>714375</xdr:colOff>
      <xdr:row>6</xdr:row>
      <xdr:rowOff>9525</xdr:rowOff>
    </xdr:from>
    <xdr:to>
      <xdr:col>9</xdr:col>
      <xdr:colOff>1181100</xdr:colOff>
      <xdr:row>7</xdr:row>
      <xdr:rowOff>247650</xdr:rowOff>
    </xdr:to>
    <xdr:sp macro="[0]!ActualiserDiagrammes" textlink="">
      <xdr:nvSpPr>
        <xdr:cNvPr id="7" name="Rectangle 6"/>
        <xdr:cNvSpPr/>
      </xdr:nvSpPr>
      <xdr:spPr>
        <a:xfrm>
          <a:off x="5819775" y="1495425"/>
          <a:ext cx="4124325" cy="495300"/>
        </a:xfrm>
        <a:prstGeom prst="rect">
          <a:avLst/>
        </a:prstGeom>
        <a:solidFill>
          <a:srgbClr val="FFC000"/>
        </a:solidFill>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ctr"/>
        <a:lstStyle/>
        <a:p>
          <a:pPr algn="ctr"/>
          <a:r>
            <a:rPr lang="fr-FR" sz="1300" b="1" baseline="0"/>
            <a:t>Actualiser les graphiques </a:t>
          </a:r>
        </a:p>
      </xdr:txBody>
    </xdr:sp>
    <xdr:clientData/>
  </xdr:twoCellAnchor>
  <xdr:twoCellAnchor>
    <xdr:from>
      <xdr:col>2</xdr:col>
      <xdr:colOff>1066801</xdr:colOff>
      <xdr:row>6</xdr:row>
      <xdr:rowOff>9525</xdr:rowOff>
    </xdr:from>
    <xdr:to>
      <xdr:col>6</xdr:col>
      <xdr:colOff>647701</xdr:colOff>
      <xdr:row>7</xdr:row>
      <xdr:rowOff>247650</xdr:rowOff>
    </xdr:to>
    <xdr:sp macro="[0]!ReinitialiserDiagrammes" textlink="">
      <xdr:nvSpPr>
        <xdr:cNvPr id="8" name="Rectangle 7"/>
        <xdr:cNvSpPr/>
      </xdr:nvSpPr>
      <xdr:spPr>
        <a:xfrm>
          <a:off x="2438401" y="1495425"/>
          <a:ext cx="3314700" cy="495300"/>
        </a:xfrm>
        <a:prstGeom prst="rect">
          <a:avLst/>
        </a:prstGeom>
        <a:solidFill>
          <a:srgbClr val="002060"/>
        </a:solidFill>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ctr"/>
        <a:lstStyle/>
        <a:p>
          <a:pPr algn="ctr"/>
          <a:r>
            <a:rPr lang="fr-FR" sz="1300" b="1" baseline="0"/>
            <a:t>Reinitialiser les graphiques </a:t>
          </a:r>
        </a:p>
      </xdr:txBody>
    </xdr:sp>
    <xdr:clientData/>
  </xdr:twoCellAnchor>
</xdr:wsDr>
</file>

<file path=xl/tables/table1.xml><?xml version="1.0" encoding="utf-8"?>
<table xmlns="http://schemas.openxmlformats.org/spreadsheetml/2006/main" id="1" name="TableDiagrammes" displayName="TableDiagrammes" ref="B23:E34">
  <tableColumns count="4">
    <tableColumn id="1" name="x (m)"/>
    <tableColumn id="2" name="N(x) kN"/>
    <tableColumn id="3" name="T(x) kN"/>
    <tableColumn id="4" name="M(x) kN.m"/>
  </tableColumns>
  <tableStyleInfo name="TableStyleMedium2" showFirstColumn="0" showLastColumn="0" showRowStripes="1" showColumnStripes="0"/>
</table>
</file>

<file path=xl/theme/theme1.xml><?xml version="1.0" encoding="utf-8"?>
<a:theme xmlns:a="http://schemas.openxmlformats.org/drawingml/2006/main" name="ChatGPT">
  <a:themeElements>
    <a:clrScheme name="ChatGPT">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Calibri"/>
        <a:ea typeface="Calibri"/>
        <a:cs typeface="Calibri"/>
      </a:majorFont>
      <a:minorFont>
        <a:latin typeface="Calibri"/>
        <a:ea typeface="Calibri"/>
        <a:cs typeface="Calibri"/>
      </a:minorFont>
    </a:fontScheme>
    <a:fmtScheme name="ChatGPT">
      <a:fillStyleLst>
        <a:solidFill>
          <a:schemeClr val="phClr"/>
        </a:solidFill>
        <a:solidFill>
          <a:schemeClr val="dk1"/>
        </a:solidFill>
        <a:solidFill>
          <a:schemeClr val="accent1"/>
        </a:solidFill>
      </a:fillStyleLst>
      <a:lnStyleLst>
        <a:ln w="12700">
          <a:solidFill>
            <a:schemeClr val="phClr"/>
          </a:solidFill>
          <a:prstDash val="solid"/>
        </a:ln>
        <a:ln w="19050">
          <a:solidFill>
            <a:schemeClr val="phClr"/>
          </a:solidFill>
          <a:prstDash val="solid"/>
        </a:ln>
        <a:ln w="25400">
          <a:solidFill>
            <a:schemeClr val="phClr"/>
          </a:solidFill>
          <a:prstDash val="solid"/>
        </a:ln>
      </a:lnStyleLst>
      <a:effectStyleLst>
        <a:effectStyle>
          <a:effectLst/>
        </a:effectStyle>
        <a:effectStyle>
          <a:effectLst/>
        </a:effectStyle>
        <a:effectStyle>
          <a:effectLst>
            <a:outerShdw blurRad="57150" dist="19050" dir="5400000">
              <a:srgbClr val="000000">
                <a:alpha val="63000"/>
              </a:srgbClr>
            </a:outerShdw>
          </a:effectLst>
        </a:effectStyle>
      </a:effectStyleLst>
      <a:bgFillStyleLst>
        <a:solidFill>
          <a:schemeClr val="phClr"/>
        </a:solidFill>
        <a:solidFill>
          <a:schemeClr val="phClr">
            <a:tint val="95000"/>
            <a:satMod val="170000"/>
          </a:schemeClr>
        </a:solidFill>
        <a:gradFill>
          <a:gsLst>
            <a:gs pos="0">
              <a:schemeClr val="phClr">
                <a:tint val="93000"/>
                <a:shade val="98000"/>
                <a:lumMod val="102000"/>
                <a:satMod val="150000"/>
              </a:schemeClr>
            </a:gs>
            <a:gs pos="50000">
              <a:schemeClr val="phClr">
                <a:tint val="98000"/>
                <a:shade val="90000"/>
                <a:lumMod val="103000"/>
                <a:satMod val="130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drawing" Target="../drawings/drawing5.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
  <dimension ref="A1:L30"/>
  <sheetViews>
    <sheetView zoomScale="80" zoomScaleNormal="80" workbookViewId="0">
      <selection activeCell="M22" sqref="M22"/>
    </sheetView>
  </sheetViews>
  <sheetFormatPr baseColWidth="10" defaultColWidth="8.796875" defaultRowHeight="13.8"/>
  <cols>
    <col min="1" max="12" width="14" customWidth="1"/>
  </cols>
  <sheetData>
    <row r="1" spans="1:12" ht="17.55" customHeight="1">
      <c r="A1" s="1"/>
      <c r="B1" s="1"/>
      <c r="C1" s="1"/>
      <c r="D1" s="1"/>
      <c r="E1" s="1"/>
      <c r="F1" s="1"/>
      <c r="G1" s="1"/>
      <c r="H1" s="1"/>
      <c r="I1" s="1"/>
      <c r="J1" s="1"/>
      <c r="K1" s="1"/>
      <c r="L1" s="1"/>
    </row>
    <row r="2" spans="1:12" ht="17.55" customHeight="1">
      <c r="A2" s="1"/>
      <c r="B2" s="69" t="s">
        <v>0</v>
      </c>
      <c r="C2" s="70"/>
      <c r="D2" s="70"/>
      <c r="E2" s="70"/>
      <c r="F2" s="70"/>
      <c r="G2" s="70"/>
      <c r="H2" s="70"/>
      <c r="I2" s="70"/>
      <c r="J2" s="70"/>
      <c r="K2" s="70"/>
      <c r="L2" s="1"/>
    </row>
    <row r="3" spans="1:12" ht="17.55" customHeight="1">
      <c r="A3" s="1"/>
      <c r="B3" s="70"/>
      <c r="C3" s="70"/>
      <c r="D3" s="70"/>
      <c r="E3" s="70"/>
      <c r="F3" s="70"/>
      <c r="G3" s="70"/>
      <c r="H3" s="70"/>
      <c r="I3" s="70"/>
      <c r="J3" s="70"/>
      <c r="K3" s="70"/>
      <c r="L3" s="1"/>
    </row>
    <row r="4" spans="1:12" ht="17.55" customHeight="1">
      <c r="A4" s="1"/>
      <c r="B4" s="70"/>
      <c r="C4" s="70"/>
      <c r="D4" s="70"/>
      <c r="E4" s="70"/>
      <c r="F4" s="70"/>
      <c r="G4" s="70"/>
      <c r="H4" s="70"/>
      <c r="I4" s="70"/>
      <c r="J4" s="70"/>
      <c r="K4" s="70"/>
      <c r="L4" s="1"/>
    </row>
    <row r="5" spans="1:12" ht="17.55" customHeight="1">
      <c r="A5" s="1"/>
      <c r="B5" s="1"/>
      <c r="C5" s="1"/>
      <c r="D5" s="1"/>
      <c r="E5" s="1"/>
      <c r="F5" s="1"/>
      <c r="G5" s="1"/>
      <c r="H5" s="1"/>
      <c r="I5" s="1"/>
      <c r="J5" s="1"/>
      <c r="K5" s="1"/>
      <c r="L5" s="1"/>
    </row>
    <row r="6" spans="1:12" ht="17.55" customHeight="1">
      <c r="A6" s="1"/>
      <c r="B6" s="71" t="s">
        <v>1</v>
      </c>
      <c r="C6" s="70"/>
      <c r="D6" s="70"/>
      <c r="E6" s="70"/>
      <c r="F6" s="70"/>
      <c r="G6" s="70"/>
      <c r="H6" s="70"/>
      <c r="I6" s="70"/>
      <c r="J6" s="70"/>
      <c r="K6" s="70"/>
      <c r="L6" s="1"/>
    </row>
    <row r="7" spans="1:12" ht="17.55" customHeight="1">
      <c r="A7" s="1"/>
      <c r="B7" s="70"/>
      <c r="C7" s="70"/>
      <c r="D7" s="70"/>
      <c r="E7" s="70"/>
      <c r="F7" s="70"/>
      <c r="G7" s="70"/>
      <c r="H7" s="70"/>
      <c r="I7" s="70"/>
      <c r="J7" s="70"/>
      <c r="K7" s="70"/>
      <c r="L7" s="1"/>
    </row>
    <row r="8" spans="1:12" ht="17.55" customHeight="1">
      <c r="A8" s="1"/>
      <c r="B8" s="1"/>
      <c r="C8" s="1"/>
      <c r="D8" s="1"/>
      <c r="E8" s="1"/>
      <c r="F8" s="1"/>
      <c r="G8" s="1"/>
      <c r="H8" s="1"/>
      <c r="I8" s="1"/>
      <c r="J8" s="1"/>
      <c r="K8" s="1"/>
      <c r="L8" s="1"/>
    </row>
    <row r="9" spans="1:12" ht="17.55" customHeight="1">
      <c r="A9" s="1"/>
      <c r="B9" s="1"/>
      <c r="C9" s="1"/>
      <c r="D9" s="1"/>
      <c r="E9" s="1"/>
      <c r="F9" s="1"/>
      <c r="G9" s="1"/>
      <c r="H9" s="1"/>
      <c r="I9" s="1"/>
      <c r="J9" s="1"/>
      <c r="K9" s="1"/>
      <c r="L9" s="1"/>
    </row>
    <row r="10" spans="1:12" ht="17.55" customHeight="1">
      <c r="A10" s="1"/>
      <c r="B10" s="55"/>
      <c r="C10" s="56"/>
      <c r="D10" s="56"/>
      <c r="E10" s="55"/>
      <c r="F10" s="55"/>
      <c r="G10" s="55"/>
      <c r="H10" s="72"/>
      <c r="I10" s="72"/>
      <c r="J10" s="72"/>
      <c r="K10" s="72"/>
      <c r="L10" s="1"/>
    </row>
    <row r="11" spans="1:12" ht="17.55" customHeight="1">
      <c r="A11" s="1"/>
      <c r="B11" s="56"/>
      <c r="C11" s="56"/>
      <c r="D11" s="56"/>
      <c r="E11" s="55"/>
      <c r="F11" s="55"/>
      <c r="G11" s="55"/>
      <c r="H11" s="72"/>
      <c r="I11" s="72"/>
      <c r="J11" s="72"/>
      <c r="K11" s="72"/>
      <c r="L11" s="1"/>
    </row>
    <row r="12" spans="1:12" ht="17.55" customHeight="1">
      <c r="A12" s="1"/>
      <c r="B12" s="56"/>
      <c r="C12" s="56"/>
      <c r="D12" s="56"/>
      <c r="E12" s="55"/>
      <c r="F12" s="55"/>
      <c r="G12" s="55"/>
      <c r="H12" s="72"/>
      <c r="I12" s="72"/>
      <c r="J12" s="72"/>
      <c r="K12" s="72"/>
      <c r="L12" s="1"/>
    </row>
    <row r="13" spans="1:12" ht="17.55" customHeight="1">
      <c r="A13" s="1"/>
      <c r="B13" s="1"/>
      <c r="C13" s="1"/>
      <c r="D13" s="1"/>
      <c r="E13" s="1"/>
      <c r="F13" s="1"/>
      <c r="G13" s="1"/>
      <c r="H13" s="1"/>
      <c r="I13" s="1"/>
      <c r="J13" s="1"/>
      <c r="K13" s="1"/>
      <c r="L13" s="1"/>
    </row>
    <row r="14" spans="1:12" ht="17.55" customHeight="1">
      <c r="A14" s="1"/>
      <c r="B14" s="1"/>
      <c r="C14" s="1"/>
      <c r="D14" s="1"/>
      <c r="E14" s="1"/>
      <c r="F14" s="1"/>
      <c r="G14" s="1"/>
      <c r="H14" s="1"/>
      <c r="I14" s="1"/>
      <c r="J14" s="1"/>
      <c r="K14" s="1"/>
      <c r="L14" s="1"/>
    </row>
    <row r="15" spans="1:12" ht="17.55" customHeight="1">
      <c r="A15" s="1"/>
      <c r="B15" s="1"/>
      <c r="C15" s="1"/>
      <c r="D15" s="1"/>
      <c r="E15" s="1"/>
      <c r="F15" s="1"/>
      <c r="G15" s="1"/>
      <c r="H15" s="1"/>
      <c r="I15" s="1"/>
      <c r="J15" s="1"/>
      <c r="K15" s="1"/>
      <c r="L15" s="1"/>
    </row>
    <row r="16" spans="1:12" ht="17.55" customHeight="1">
      <c r="A16" s="1"/>
      <c r="B16" s="1"/>
      <c r="C16" s="1"/>
      <c r="D16" s="1"/>
      <c r="E16" s="1"/>
      <c r="F16" s="1"/>
      <c r="G16" s="1"/>
      <c r="H16" s="1"/>
      <c r="I16" s="1"/>
      <c r="J16" s="1"/>
      <c r="K16" s="1"/>
      <c r="L16" s="1"/>
    </row>
    <row r="17" spans="1:12" ht="17.55" customHeight="1">
      <c r="A17" s="1"/>
      <c r="B17" s="1"/>
      <c r="C17" s="1"/>
      <c r="D17" s="1"/>
      <c r="E17" s="1"/>
      <c r="F17" s="1"/>
      <c r="G17" s="1"/>
      <c r="H17" s="1"/>
      <c r="I17" s="1"/>
      <c r="J17" s="1"/>
      <c r="K17" s="1"/>
      <c r="L17" s="1"/>
    </row>
    <row r="18" spans="1:12" ht="17.55" customHeight="1">
      <c r="A18" s="1"/>
      <c r="B18" s="1"/>
      <c r="C18" s="1"/>
      <c r="D18" s="1"/>
      <c r="E18" s="1"/>
      <c r="F18" s="1"/>
      <c r="G18" s="1"/>
      <c r="H18" s="1"/>
      <c r="I18" s="1"/>
      <c r="J18" s="1"/>
      <c r="K18" s="1"/>
      <c r="L18" s="1"/>
    </row>
    <row r="19" spans="1:12" ht="17.55" customHeight="1">
      <c r="A19" s="1"/>
      <c r="B19" s="1"/>
      <c r="C19" s="1"/>
      <c r="D19" s="1"/>
      <c r="E19" s="1"/>
      <c r="F19" s="1"/>
      <c r="G19" s="1"/>
      <c r="H19" s="1"/>
      <c r="I19" s="1"/>
      <c r="J19" s="1"/>
      <c r="K19" s="1"/>
      <c r="L19" s="1"/>
    </row>
    <row r="20" spans="1:12" ht="17.55" customHeight="1">
      <c r="A20" s="1"/>
      <c r="B20" s="1"/>
      <c r="C20" s="1"/>
      <c r="D20" s="1"/>
      <c r="E20" s="1"/>
      <c r="F20" s="1"/>
      <c r="G20" s="1"/>
      <c r="H20" s="1"/>
      <c r="I20" s="1"/>
      <c r="J20" s="1"/>
      <c r="K20" s="1"/>
      <c r="L20" s="1"/>
    </row>
    <row r="21" spans="1:12" ht="17.55" customHeight="1">
      <c r="A21" s="1"/>
      <c r="B21" s="1"/>
      <c r="C21" s="1"/>
      <c r="D21" s="1"/>
      <c r="E21" s="1"/>
      <c r="F21" s="1"/>
      <c r="G21" s="1"/>
      <c r="H21" s="1"/>
      <c r="I21" s="1"/>
      <c r="J21" s="1"/>
      <c r="K21" s="1"/>
      <c r="L21" s="1"/>
    </row>
    <row r="22" spans="1:12" ht="17.55" customHeight="1">
      <c r="A22" s="1"/>
      <c r="B22" s="1"/>
      <c r="C22" s="1"/>
      <c r="D22" s="1"/>
      <c r="E22" s="1"/>
      <c r="F22" s="1"/>
      <c r="G22" s="1"/>
      <c r="H22" s="1"/>
      <c r="I22" s="1"/>
      <c r="J22" s="1"/>
      <c r="K22" s="1"/>
      <c r="L22" s="1"/>
    </row>
    <row r="23" spans="1:12" ht="17.55" customHeight="1">
      <c r="A23" s="1"/>
      <c r="B23" s="1"/>
      <c r="C23" s="1"/>
      <c r="D23" s="1"/>
      <c r="E23" s="1"/>
      <c r="F23" s="1"/>
      <c r="G23" s="1"/>
      <c r="H23" s="1"/>
      <c r="I23" s="1"/>
      <c r="J23" s="1"/>
      <c r="K23" s="1"/>
      <c r="L23" s="1"/>
    </row>
    <row r="24" spans="1:12" ht="17.55" customHeight="1">
      <c r="A24" s="1"/>
      <c r="B24" s="1"/>
      <c r="C24" s="1"/>
      <c r="D24" s="1"/>
      <c r="E24" s="1"/>
      <c r="F24" s="1"/>
      <c r="G24" s="1"/>
      <c r="H24" s="1"/>
      <c r="I24" s="1"/>
      <c r="J24" s="1"/>
      <c r="K24" s="1"/>
      <c r="L24" s="1"/>
    </row>
    <row r="25" spans="1:12" ht="17.55" customHeight="1">
      <c r="A25" s="1"/>
      <c r="B25" s="1"/>
      <c r="C25" s="1"/>
      <c r="D25" s="1"/>
      <c r="E25" s="1"/>
      <c r="F25" s="1"/>
      <c r="G25" s="1"/>
      <c r="H25" s="1"/>
      <c r="I25" s="1"/>
      <c r="J25" s="1"/>
      <c r="K25" s="1"/>
      <c r="L25" s="1"/>
    </row>
    <row r="26" spans="1:12" ht="17.55" customHeight="1">
      <c r="A26" s="1"/>
      <c r="B26" s="1"/>
      <c r="C26" s="1"/>
      <c r="D26" s="1"/>
      <c r="E26" s="1"/>
      <c r="F26" s="1"/>
      <c r="G26" s="1"/>
      <c r="H26" s="1"/>
      <c r="I26" s="1"/>
      <c r="J26" s="1"/>
      <c r="K26" s="1"/>
      <c r="L26" s="1"/>
    </row>
    <row r="27" spans="1:12" ht="17.55" customHeight="1">
      <c r="A27" s="1"/>
      <c r="B27" s="1"/>
      <c r="C27" s="1"/>
      <c r="D27" s="1"/>
      <c r="E27" s="1"/>
      <c r="F27" s="1"/>
      <c r="G27" s="1"/>
      <c r="H27" s="1"/>
      <c r="I27" s="1"/>
      <c r="J27" s="1"/>
      <c r="K27" s="1"/>
      <c r="L27" s="1"/>
    </row>
    <row r="28" spans="1:12" ht="17.55" customHeight="1">
      <c r="A28" s="1"/>
      <c r="B28" s="1"/>
      <c r="C28" s="1"/>
      <c r="D28" s="1"/>
      <c r="E28" s="1"/>
      <c r="F28" s="1"/>
      <c r="G28" s="1"/>
      <c r="H28" s="1"/>
      <c r="I28" s="1"/>
      <c r="J28" s="1"/>
      <c r="K28" s="1"/>
      <c r="L28" s="1"/>
    </row>
    <row r="29" spans="1:12" ht="17.55" customHeight="1">
      <c r="A29" s="1"/>
      <c r="B29" s="1"/>
      <c r="C29" s="1"/>
      <c r="D29" s="1"/>
      <c r="E29" s="1"/>
      <c r="F29" s="1"/>
      <c r="G29" s="1"/>
      <c r="H29" s="1"/>
      <c r="I29" s="1"/>
      <c r="J29" s="1"/>
      <c r="K29" s="1"/>
      <c r="L29" s="1"/>
    </row>
    <row r="30" spans="1:12" ht="17.55" customHeight="1">
      <c r="A30" s="1"/>
      <c r="B30" s="1"/>
      <c r="C30" s="1"/>
      <c r="D30" s="1"/>
      <c r="E30" s="1"/>
      <c r="F30" s="1"/>
      <c r="G30" s="1"/>
      <c r="H30" s="1"/>
      <c r="I30" s="1"/>
      <c r="J30" s="1"/>
      <c r="K30" s="1"/>
      <c r="L30" s="1"/>
    </row>
  </sheetData>
  <mergeCells count="3">
    <mergeCell ref="B2:K4"/>
    <mergeCell ref="B6:K7"/>
    <mergeCell ref="H10:K12"/>
  </mergeCells>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2"/>
  <dimension ref="A1:N48"/>
  <sheetViews>
    <sheetView topLeftCell="A27" zoomScale="80" zoomScaleNormal="80" workbookViewId="0">
      <selection activeCell="D45" sqref="D45"/>
    </sheetView>
  </sheetViews>
  <sheetFormatPr baseColWidth="10" defaultColWidth="8.796875" defaultRowHeight="13.8"/>
  <cols>
    <col min="1" max="1" width="3" customWidth="1"/>
    <col min="2" max="2" width="15" customWidth="1"/>
    <col min="3" max="4" width="16" customWidth="1"/>
    <col min="5" max="7" width="13" customWidth="1"/>
    <col min="8" max="8" width="15" customWidth="1"/>
    <col min="9" max="9" width="18" customWidth="1"/>
    <col min="10" max="10" width="28" customWidth="1"/>
    <col min="11" max="13" width="16" customWidth="1"/>
    <col min="14" max="14" width="3" customWidth="1"/>
  </cols>
  <sheetData>
    <row r="1" spans="1:14" ht="17.55" customHeight="1">
      <c r="A1" s="1"/>
      <c r="B1" s="1"/>
      <c r="C1" s="1"/>
      <c r="D1" s="1"/>
      <c r="E1" s="1"/>
      <c r="F1" s="1"/>
      <c r="G1" s="1"/>
      <c r="H1" s="1"/>
      <c r="I1" s="1"/>
      <c r="J1" s="1"/>
      <c r="K1" s="1"/>
      <c r="L1" s="1"/>
      <c r="M1" s="1"/>
      <c r="N1" s="1"/>
    </row>
    <row r="2" spans="1:14" ht="22.35" customHeight="1">
      <c r="A2" s="1"/>
      <c r="B2" s="73" t="s">
        <v>2</v>
      </c>
      <c r="C2" s="70"/>
      <c r="D2" s="70"/>
      <c r="E2" s="70"/>
      <c r="F2" s="70"/>
      <c r="G2" s="70"/>
      <c r="H2" s="70"/>
      <c r="I2" s="70"/>
      <c r="J2" s="70"/>
      <c r="K2" s="70"/>
      <c r="L2" s="70"/>
      <c r="M2" s="70"/>
      <c r="N2" s="1"/>
    </row>
    <row r="3" spans="1:14" ht="22.35" customHeight="1">
      <c r="A3" s="1"/>
      <c r="B3" s="70"/>
      <c r="C3" s="70"/>
      <c r="D3" s="70"/>
      <c r="E3" s="70"/>
      <c r="F3" s="70"/>
      <c r="G3" s="70"/>
      <c r="H3" s="70"/>
      <c r="I3" s="70"/>
      <c r="J3" s="70"/>
      <c r="K3" s="70"/>
      <c r="L3" s="70"/>
      <c r="M3" s="70"/>
      <c r="N3" s="1"/>
    </row>
    <row r="4" spans="1:14" ht="22.35" customHeight="1">
      <c r="A4" s="1"/>
      <c r="B4" s="71" t="s">
        <v>3</v>
      </c>
      <c r="C4" s="70"/>
      <c r="D4" s="70"/>
      <c r="E4" s="70"/>
      <c r="F4" s="70"/>
      <c r="G4" s="70"/>
      <c r="H4" s="70"/>
      <c r="I4" s="70"/>
      <c r="J4" s="70"/>
      <c r="K4" s="70"/>
      <c r="L4" s="70"/>
      <c r="M4" s="70"/>
      <c r="N4" s="1"/>
    </row>
    <row r="5" spans="1:14" ht="22.35" customHeight="1">
      <c r="A5" s="1"/>
      <c r="B5" s="70"/>
      <c r="C5" s="70"/>
      <c r="D5" s="70"/>
      <c r="E5" s="70"/>
      <c r="F5" s="70"/>
      <c r="G5" s="70"/>
      <c r="H5" s="70"/>
      <c r="I5" s="70"/>
      <c r="J5" s="70"/>
      <c r="K5" s="70"/>
      <c r="L5" s="70"/>
      <c r="M5" s="70"/>
      <c r="N5" s="1"/>
    </row>
    <row r="6" spans="1:14" ht="17.55" customHeight="1">
      <c r="A6" s="1"/>
      <c r="B6" s="1"/>
      <c r="C6" s="1"/>
      <c r="D6" s="1"/>
      <c r="E6" s="1"/>
      <c r="F6" s="1"/>
      <c r="G6" s="1"/>
      <c r="H6" s="1"/>
      <c r="I6" s="1"/>
      <c r="J6" s="1"/>
      <c r="K6" s="1"/>
      <c r="L6" s="1"/>
      <c r="M6" s="1"/>
      <c r="N6" s="1"/>
    </row>
    <row r="7" spans="1:14" ht="17.55" customHeight="1">
      <c r="A7" s="1"/>
      <c r="B7" s="63"/>
      <c r="C7" s="64"/>
      <c r="D7" s="64"/>
      <c r="E7" s="55"/>
      <c r="F7" s="56"/>
      <c r="G7" s="56"/>
      <c r="H7" s="55"/>
      <c r="I7" s="57"/>
      <c r="J7" s="57"/>
      <c r="K7" s="63"/>
      <c r="L7" s="64"/>
      <c r="M7" s="64"/>
      <c r="N7" s="1"/>
    </row>
    <row r="8" spans="1:14" ht="17.55" customHeight="1">
      <c r="A8" s="1"/>
      <c r="B8" s="64"/>
      <c r="C8" s="64"/>
      <c r="D8" s="64"/>
      <c r="E8" s="56"/>
      <c r="F8" s="56"/>
      <c r="G8" s="56"/>
      <c r="H8" s="57"/>
      <c r="I8" s="57"/>
      <c r="J8" s="57"/>
      <c r="K8" s="64"/>
      <c r="L8" s="64"/>
      <c r="M8" s="64"/>
      <c r="N8" s="1"/>
    </row>
    <row r="9" spans="1:14" ht="17.55" customHeight="1">
      <c r="A9" s="1"/>
      <c r="B9" s="1"/>
      <c r="C9" s="1"/>
      <c r="D9" s="1"/>
      <c r="E9" s="1"/>
      <c r="F9" s="1"/>
      <c r="G9" s="1"/>
      <c r="H9" s="1"/>
      <c r="I9" s="1"/>
      <c r="J9" s="1"/>
      <c r="K9" s="1"/>
      <c r="L9" s="1"/>
      <c r="M9" s="1"/>
      <c r="N9" s="1"/>
    </row>
    <row r="10" spans="1:14" ht="22.35" customHeight="1">
      <c r="A10" s="1"/>
      <c r="B10" s="74" t="s">
        <v>4</v>
      </c>
      <c r="C10" s="70"/>
      <c r="D10" s="70"/>
      <c r="E10" s="70"/>
      <c r="F10" s="70"/>
      <c r="G10" s="70"/>
      <c r="H10" s="70"/>
      <c r="I10" s="70"/>
      <c r="J10" s="70"/>
      <c r="K10" s="70"/>
      <c r="L10" s="70"/>
      <c r="M10" s="70"/>
      <c r="N10" s="1"/>
    </row>
    <row r="11" spans="1:14" ht="17.55" customHeight="1">
      <c r="A11" s="1"/>
      <c r="B11" s="1"/>
      <c r="C11" s="1"/>
      <c r="D11" s="1"/>
      <c r="E11" s="1"/>
      <c r="F11" s="1"/>
      <c r="G11" s="1"/>
      <c r="H11" s="1"/>
      <c r="I11" s="1"/>
      <c r="J11" s="1"/>
      <c r="K11" s="1"/>
      <c r="L11" s="1"/>
      <c r="M11" s="1"/>
      <c r="N11" s="1"/>
    </row>
    <row r="12" spans="1:14" ht="17.55" customHeight="1">
      <c r="A12" s="1"/>
      <c r="B12" s="2" t="s">
        <v>5</v>
      </c>
      <c r="C12" s="2" t="s">
        <v>6</v>
      </c>
      <c r="D12" s="2" t="s">
        <v>7</v>
      </c>
      <c r="E12" s="1"/>
      <c r="F12" s="75" t="s">
        <v>8</v>
      </c>
      <c r="G12" s="70"/>
      <c r="H12" s="70"/>
      <c r="I12" s="70"/>
      <c r="J12" s="70"/>
      <c r="K12" s="70"/>
      <c r="L12" s="70"/>
      <c r="M12" s="70"/>
      <c r="N12" s="1"/>
    </row>
    <row r="13" spans="1:14" ht="24.6" customHeight="1">
      <c r="A13" s="1"/>
      <c r="B13" s="4" t="s">
        <v>9</v>
      </c>
      <c r="C13" s="6">
        <v>20</v>
      </c>
      <c r="D13" s="5" t="s">
        <v>10</v>
      </c>
      <c r="E13" s="1"/>
      <c r="F13" s="70"/>
      <c r="G13" s="70"/>
      <c r="H13" s="70"/>
      <c r="I13" s="70"/>
      <c r="J13" s="70"/>
      <c r="K13" s="70"/>
      <c r="L13" s="70"/>
      <c r="M13" s="70"/>
      <c r="N13" s="1"/>
    </row>
    <row r="14" spans="1:14" ht="24.6" customHeight="1">
      <c r="A14" s="1"/>
      <c r="B14" s="4" t="s">
        <v>11</v>
      </c>
      <c r="C14" s="6">
        <v>10</v>
      </c>
      <c r="D14" s="5" t="s">
        <v>12</v>
      </c>
      <c r="E14" s="1"/>
      <c r="F14" s="70"/>
      <c r="G14" s="70"/>
      <c r="H14" s="70"/>
      <c r="I14" s="70"/>
      <c r="J14" s="70"/>
      <c r="K14" s="70"/>
      <c r="L14" s="70"/>
      <c r="M14" s="70"/>
      <c r="N14" s="1"/>
    </row>
    <row r="15" spans="1:14" ht="17.55" customHeight="1">
      <c r="A15" s="1"/>
      <c r="B15" s="1"/>
      <c r="C15" s="1"/>
      <c r="D15" s="1"/>
      <c r="E15" s="1"/>
      <c r="F15" s="1"/>
      <c r="G15" s="1"/>
      <c r="H15" s="1"/>
      <c r="I15" s="1"/>
      <c r="J15" s="1"/>
      <c r="K15" s="1"/>
      <c r="L15" s="1"/>
      <c r="M15" s="1"/>
      <c r="N15" s="1"/>
    </row>
    <row r="16" spans="1:14" ht="17.55" customHeight="1">
      <c r="A16" s="1"/>
      <c r="B16" s="1"/>
      <c r="C16" s="1"/>
      <c r="D16" s="1"/>
      <c r="E16" s="1"/>
      <c r="F16" s="1"/>
      <c r="G16" s="1"/>
      <c r="H16" s="1"/>
      <c r="I16" s="1"/>
      <c r="J16" s="1"/>
      <c r="K16" s="1"/>
      <c r="L16" s="1"/>
      <c r="M16" s="1"/>
      <c r="N16" s="1"/>
    </row>
    <row r="17" spans="1:14" ht="22.35" customHeight="1">
      <c r="A17" s="1"/>
      <c r="B17" s="74" t="s">
        <v>13</v>
      </c>
      <c r="C17" s="70"/>
      <c r="D17" s="70"/>
      <c r="E17" s="70"/>
      <c r="F17" s="70"/>
      <c r="G17" s="70"/>
      <c r="H17" s="70"/>
      <c r="I17" s="70"/>
      <c r="J17" s="70"/>
      <c r="K17" s="70"/>
      <c r="L17" s="70"/>
      <c r="M17" s="70"/>
      <c r="N17" s="1"/>
    </row>
    <row r="18" spans="1:14" ht="17.55" customHeight="1">
      <c r="A18" s="1"/>
      <c r="B18" s="1"/>
      <c r="C18" s="1"/>
      <c r="D18" s="1"/>
      <c r="E18" s="1"/>
      <c r="F18" s="1"/>
      <c r="G18" s="1"/>
      <c r="H18" s="1"/>
      <c r="I18" s="1"/>
      <c r="J18" s="1"/>
      <c r="K18" s="1"/>
      <c r="L18" s="1"/>
      <c r="M18" s="1"/>
      <c r="N18" s="1"/>
    </row>
    <row r="19" spans="1:14" ht="20.85" customHeight="1">
      <c r="A19" s="1"/>
      <c r="B19" s="3" t="s">
        <v>14</v>
      </c>
      <c r="C19" s="3" t="s">
        <v>15</v>
      </c>
      <c r="D19" s="3" t="s">
        <v>16</v>
      </c>
      <c r="E19" s="3" t="s">
        <v>17</v>
      </c>
      <c r="F19" s="3" t="s">
        <v>18</v>
      </c>
      <c r="G19" s="3" t="s">
        <v>19</v>
      </c>
      <c r="H19" s="3" t="s">
        <v>20</v>
      </c>
      <c r="I19" s="3" t="s">
        <v>21</v>
      </c>
      <c r="J19" s="3" t="s">
        <v>22</v>
      </c>
      <c r="K19" s="1"/>
      <c r="L19" s="1"/>
      <c r="M19" s="1"/>
      <c r="N19" s="1"/>
    </row>
    <row r="20" spans="1:14" ht="20.85" customHeight="1">
      <c r="A20" s="1"/>
      <c r="B20" s="8" t="s">
        <v>23</v>
      </c>
      <c r="C20" s="8" t="s">
        <v>25</v>
      </c>
      <c r="D20" s="10">
        <v>10</v>
      </c>
      <c r="E20" s="11">
        <f t="shared" ref="E20:E29" si="0">IF(C20="Rotule",1,IF(C20="Encastrement",1,0))</f>
        <v>0</v>
      </c>
      <c r="F20" s="11">
        <f t="shared" ref="F20:F29" si="1">IF(OR(C20="Rotule",C20="Rouleau",C20="Encastrement"),1,0)</f>
        <v>1</v>
      </c>
      <c r="G20" s="11">
        <f t="shared" ref="G20:G29" si="2">IF(C20="Encastrement",1,0)</f>
        <v>0</v>
      </c>
      <c r="H20" s="11">
        <f t="shared" ref="H20:H29" si="3">SUM(E20:G20)</f>
        <v>1</v>
      </c>
      <c r="I20" s="9" t="str">
        <f t="shared" ref="I20:I29" si="4">IF(D20="","",IF(AND(D20&gt;=0,D20&lt;=$C$13),"OK","Hors poutre"))</f>
        <v>OK</v>
      </c>
      <c r="J20" s="9" t="str">
        <f t="shared" ref="J20:J29" si="5">IF(C20="Rouleau",B20&amp;"y",IF(C20="Rotule",B20&amp;"x, "&amp;B20&amp;"y",IF(C20="Encastrement",B20&amp;"x, "&amp;B20&amp;"y, M"&amp;B20,"")))</f>
        <v>Ay</v>
      </c>
      <c r="K20" s="1"/>
      <c r="L20" s="1"/>
      <c r="M20" s="1"/>
      <c r="N20" s="1"/>
    </row>
    <row r="21" spans="1:14" ht="20.85" customHeight="1">
      <c r="A21" s="1"/>
      <c r="B21" s="8" t="s">
        <v>170</v>
      </c>
      <c r="C21" s="8" t="s">
        <v>24</v>
      </c>
      <c r="D21" s="10">
        <v>7</v>
      </c>
      <c r="E21" s="11">
        <f t="shared" si="0"/>
        <v>1</v>
      </c>
      <c r="F21" s="11">
        <f t="shared" si="1"/>
        <v>1</v>
      </c>
      <c r="G21" s="11">
        <f t="shared" si="2"/>
        <v>0</v>
      </c>
      <c r="H21" s="11">
        <f t="shared" si="3"/>
        <v>2</v>
      </c>
      <c r="I21" s="9" t="str">
        <f t="shared" si="4"/>
        <v>OK</v>
      </c>
      <c r="J21" s="9" t="str">
        <f t="shared" si="5"/>
        <v>Cx, Cy</v>
      </c>
      <c r="K21" s="1"/>
      <c r="L21" s="1"/>
      <c r="M21" s="1"/>
      <c r="N21" s="1"/>
    </row>
    <row r="22" spans="1:14" ht="20.85" customHeight="1">
      <c r="A22" s="1"/>
      <c r="B22" s="8"/>
      <c r="C22" s="8"/>
      <c r="D22" s="10"/>
      <c r="E22" s="11">
        <f t="shared" si="0"/>
        <v>0</v>
      </c>
      <c r="F22" s="11">
        <f t="shared" si="1"/>
        <v>0</v>
      </c>
      <c r="G22" s="11">
        <f t="shared" si="2"/>
        <v>0</v>
      </c>
      <c r="H22" s="11">
        <f t="shared" si="3"/>
        <v>0</v>
      </c>
      <c r="I22" s="9" t="str">
        <f t="shared" si="4"/>
        <v/>
      </c>
      <c r="J22" s="9" t="str">
        <f t="shared" si="5"/>
        <v/>
      </c>
      <c r="K22" s="1"/>
      <c r="L22" s="1"/>
      <c r="M22" s="1"/>
      <c r="N22" s="1"/>
    </row>
    <row r="23" spans="1:14" ht="20.85" customHeight="1">
      <c r="A23" s="1"/>
      <c r="B23" s="8"/>
      <c r="C23" s="8"/>
      <c r="D23" s="10"/>
      <c r="E23" s="11">
        <f t="shared" si="0"/>
        <v>0</v>
      </c>
      <c r="F23" s="11">
        <f t="shared" si="1"/>
        <v>0</v>
      </c>
      <c r="G23" s="11">
        <f t="shared" si="2"/>
        <v>0</v>
      </c>
      <c r="H23" s="11">
        <f t="shared" si="3"/>
        <v>0</v>
      </c>
      <c r="I23" s="9" t="str">
        <f t="shared" si="4"/>
        <v/>
      </c>
      <c r="J23" s="9" t="str">
        <f t="shared" si="5"/>
        <v/>
      </c>
      <c r="K23" s="1"/>
      <c r="L23" s="1"/>
      <c r="M23" s="1"/>
      <c r="N23" s="1"/>
    </row>
    <row r="24" spans="1:14" ht="20.85" customHeight="1">
      <c r="A24" s="1"/>
      <c r="B24" s="8"/>
      <c r="C24" s="8"/>
      <c r="D24" s="10"/>
      <c r="E24" s="11">
        <f t="shared" si="0"/>
        <v>0</v>
      </c>
      <c r="F24" s="11">
        <f t="shared" si="1"/>
        <v>0</v>
      </c>
      <c r="G24" s="11">
        <f t="shared" si="2"/>
        <v>0</v>
      </c>
      <c r="H24" s="11">
        <f t="shared" si="3"/>
        <v>0</v>
      </c>
      <c r="I24" s="9" t="str">
        <f t="shared" si="4"/>
        <v/>
      </c>
      <c r="J24" s="9" t="str">
        <f t="shared" si="5"/>
        <v/>
      </c>
      <c r="K24" s="1"/>
      <c r="L24" s="1"/>
      <c r="M24" s="1"/>
      <c r="N24" s="1"/>
    </row>
    <row r="25" spans="1:14" ht="20.85" customHeight="1">
      <c r="A25" s="1"/>
      <c r="B25" s="8"/>
      <c r="C25" s="8"/>
      <c r="D25" s="10"/>
      <c r="E25" s="11">
        <f t="shared" si="0"/>
        <v>0</v>
      </c>
      <c r="F25" s="11">
        <f t="shared" si="1"/>
        <v>0</v>
      </c>
      <c r="G25" s="11">
        <f t="shared" si="2"/>
        <v>0</v>
      </c>
      <c r="H25" s="11">
        <f t="shared" si="3"/>
        <v>0</v>
      </c>
      <c r="I25" s="9" t="str">
        <f t="shared" si="4"/>
        <v/>
      </c>
      <c r="J25" s="9" t="str">
        <f t="shared" si="5"/>
        <v/>
      </c>
      <c r="K25" s="1"/>
      <c r="L25" s="1"/>
      <c r="M25" s="1"/>
      <c r="N25" s="1"/>
    </row>
    <row r="26" spans="1:14" ht="20.85" customHeight="1">
      <c r="A26" s="1"/>
      <c r="B26" s="8"/>
      <c r="C26" s="8"/>
      <c r="D26" s="10"/>
      <c r="E26" s="11">
        <f t="shared" si="0"/>
        <v>0</v>
      </c>
      <c r="F26" s="11">
        <f t="shared" si="1"/>
        <v>0</v>
      </c>
      <c r="G26" s="11">
        <f t="shared" si="2"/>
        <v>0</v>
      </c>
      <c r="H26" s="11">
        <f t="shared" si="3"/>
        <v>0</v>
      </c>
      <c r="I26" s="9" t="str">
        <f t="shared" si="4"/>
        <v/>
      </c>
      <c r="J26" s="9" t="str">
        <f t="shared" si="5"/>
        <v/>
      </c>
      <c r="K26" s="1"/>
      <c r="L26" s="1"/>
      <c r="M26" s="1"/>
      <c r="N26" s="1"/>
    </row>
    <row r="27" spans="1:14" ht="20.85" customHeight="1">
      <c r="A27" s="1"/>
      <c r="B27" s="8"/>
      <c r="C27" s="8"/>
      <c r="D27" s="10"/>
      <c r="E27" s="11">
        <f t="shared" si="0"/>
        <v>0</v>
      </c>
      <c r="F27" s="11">
        <f t="shared" si="1"/>
        <v>0</v>
      </c>
      <c r="G27" s="11">
        <f t="shared" si="2"/>
        <v>0</v>
      </c>
      <c r="H27" s="11">
        <f t="shared" si="3"/>
        <v>0</v>
      </c>
      <c r="I27" s="9" t="str">
        <f t="shared" si="4"/>
        <v/>
      </c>
      <c r="J27" s="9" t="str">
        <f t="shared" si="5"/>
        <v/>
      </c>
      <c r="K27" s="1"/>
      <c r="L27" s="1"/>
      <c r="M27" s="1"/>
      <c r="N27" s="1"/>
    </row>
    <row r="28" spans="1:14" ht="20.85" customHeight="1">
      <c r="A28" s="1"/>
      <c r="B28" s="8"/>
      <c r="C28" s="8"/>
      <c r="D28" s="10"/>
      <c r="E28" s="11">
        <f t="shared" si="0"/>
        <v>0</v>
      </c>
      <c r="F28" s="11">
        <f t="shared" si="1"/>
        <v>0</v>
      </c>
      <c r="G28" s="11">
        <f t="shared" si="2"/>
        <v>0</v>
      </c>
      <c r="H28" s="11">
        <f t="shared" si="3"/>
        <v>0</v>
      </c>
      <c r="I28" s="9" t="str">
        <f t="shared" si="4"/>
        <v/>
      </c>
      <c r="J28" s="9" t="str">
        <f t="shared" si="5"/>
        <v/>
      </c>
      <c r="K28" s="1"/>
      <c r="L28" s="1"/>
      <c r="M28" s="1"/>
      <c r="N28" s="1"/>
    </row>
    <row r="29" spans="1:14" ht="20.85" customHeight="1">
      <c r="A29" s="1"/>
      <c r="B29" s="8"/>
      <c r="C29" s="8"/>
      <c r="D29" s="10"/>
      <c r="E29" s="11">
        <f t="shared" si="0"/>
        <v>0</v>
      </c>
      <c r="F29" s="11">
        <f t="shared" si="1"/>
        <v>0</v>
      </c>
      <c r="G29" s="11">
        <f t="shared" si="2"/>
        <v>0</v>
      </c>
      <c r="H29" s="11">
        <f t="shared" si="3"/>
        <v>0</v>
      </c>
      <c r="I29" s="9" t="str">
        <f t="shared" si="4"/>
        <v/>
      </c>
      <c r="J29" s="9" t="str">
        <f t="shared" si="5"/>
        <v/>
      </c>
      <c r="K29" s="1"/>
      <c r="L29" s="1"/>
      <c r="M29" s="1"/>
      <c r="N29" s="1"/>
    </row>
    <row r="30" spans="1:14" ht="17.55" customHeight="1">
      <c r="A30" s="1"/>
      <c r="B30" s="1"/>
      <c r="C30" s="1"/>
      <c r="D30" s="1"/>
      <c r="E30" s="1"/>
      <c r="F30" s="1"/>
      <c r="G30" s="1"/>
      <c r="H30" s="1"/>
      <c r="I30" s="1"/>
      <c r="J30" s="1"/>
      <c r="K30" s="1"/>
      <c r="L30" s="1"/>
      <c r="M30" s="1"/>
      <c r="N30" s="1"/>
    </row>
    <row r="31" spans="1:14" ht="17.55" customHeight="1">
      <c r="A31" s="1"/>
      <c r="B31" s="1"/>
      <c r="C31" s="1"/>
      <c r="D31" s="1"/>
      <c r="E31" s="1"/>
      <c r="F31" s="1"/>
      <c r="G31" s="1"/>
      <c r="H31" s="1"/>
      <c r="I31" s="1"/>
      <c r="J31" s="1"/>
      <c r="K31" s="1"/>
      <c r="L31" s="1"/>
      <c r="M31" s="1"/>
      <c r="N31" s="1"/>
    </row>
    <row r="32" spans="1:14" ht="22.35" customHeight="1">
      <c r="A32" s="1"/>
      <c r="B32" s="74" t="s">
        <v>26</v>
      </c>
      <c r="C32" s="70"/>
      <c r="D32" s="70"/>
      <c r="E32" s="70"/>
      <c r="F32" s="70"/>
      <c r="G32" s="70"/>
      <c r="H32" s="70"/>
      <c r="I32" s="70"/>
      <c r="J32" s="70"/>
      <c r="K32" s="70"/>
      <c r="L32" s="70"/>
      <c r="M32" s="70"/>
      <c r="N32" s="1"/>
    </row>
    <row r="33" spans="1:14" ht="17.55" customHeight="1">
      <c r="A33" s="1"/>
      <c r="B33" s="1"/>
      <c r="C33" s="1"/>
      <c r="D33" s="1"/>
      <c r="E33" s="1"/>
      <c r="F33" s="1"/>
      <c r="G33" s="1"/>
      <c r="H33" s="1"/>
      <c r="I33" s="1"/>
      <c r="J33" s="1"/>
      <c r="K33" s="1"/>
      <c r="L33" s="1"/>
      <c r="M33" s="1"/>
      <c r="N33" s="1"/>
    </row>
    <row r="34" spans="1:14" ht="17.55" customHeight="1">
      <c r="A34" s="1"/>
      <c r="B34" s="2" t="s">
        <v>27</v>
      </c>
      <c r="C34" s="2" t="s">
        <v>6</v>
      </c>
      <c r="D34" s="2" t="s">
        <v>28</v>
      </c>
      <c r="E34" s="2"/>
      <c r="F34" s="2"/>
      <c r="G34" s="1"/>
      <c r="H34" s="76" t="s">
        <v>29</v>
      </c>
      <c r="I34" s="70"/>
      <c r="J34" s="70"/>
      <c r="K34" s="70"/>
      <c r="L34" s="70"/>
      <c r="M34" s="70"/>
      <c r="N34" s="1"/>
    </row>
    <row r="35" spans="1:14" ht="43.8" customHeight="1">
      <c r="A35" s="1"/>
      <c r="B35" s="7" t="s">
        <v>30</v>
      </c>
      <c r="C35" s="12">
        <f>SUM(H20:H29)</f>
        <v>3</v>
      </c>
      <c r="D35" s="7"/>
      <c r="E35" s="7"/>
      <c r="F35" s="7"/>
      <c r="G35" s="1"/>
      <c r="H35" s="70"/>
      <c r="I35" s="70"/>
      <c r="J35" s="70"/>
      <c r="K35" s="70"/>
      <c r="L35" s="70"/>
      <c r="M35" s="70"/>
      <c r="N35" s="1"/>
    </row>
    <row r="36" spans="1:14" ht="40.799999999999997" customHeight="1">
      <c r="A36" s="1"/>
      <c r="B36" s="7" t="s">
        <v>31</v>
      </c>
      <c r="C36" s="12">
        <v>3</v>
      </c>
      <c r="D36" s="7" t="s">
        <v>32</v>
      </c>
      <c r="E36" s="7"/>
      <c r="F36" s="7"/>
      <c r="G36" s="1"/>
      <c r="H36" s="70"/>
      <c r="I36" s="70"/>
      <c r="J36" s="70"/>
      <c r="K36" s="70"/>
      <c r="L36" s="70"/>
      <c r="M36" s="70"/>
      <c r="N36" s="1"/>
    </row>
    <row r="37" spans="1:14" ht="36" customHeight="1">
      <c r="A37" s="1"/>
      <c r="B37" s="7" t="s">
        <v>33</v>
      </c>
      <c r="C37" s="13" t="str">
        <f>IF(C35=3,"ISOSTATIQUE",IF(C35&lt;3,"INSTABLE / insuffisant","HYPERSTATIQUE"))</f>
        <v>ISOSTATIQUE</v>
      </c>
      <c r="D37" s="7"/>
      <c r="E37" s="7"/>
      <c r="F37" s="7"/>
      <c r="G37" s="1"/>
      <c r="H37" s="70"/>
      <c r="I37" s="70"/>
      <c r="J37" s="70"/>
      <c r="K37" s="70"/>
      <c r="L37" s="70"/>
      <c r="M37" s="70"/>
      <c r="N37" s="1"/>
    </row>
    <row r="38" spans="1:14" ht="91.8" customHeight="1">
      <c r="A38" s="1"/>
      <c r="B38" s="7" t="s">
        <v>34</v>
      </c>
      <c r="C38" s="12" t="str">
        <f>IF(C35=3,"La structure possède exactement 3 réactions inconnues : le solveur peut construire les 3 équations d’équilibre.",IF(C35&lt;3,"Il manque des réactions d’appui : la poutre risque d’être instable.","Il y a plus de 3 réactions inconnues : la structure n’est pas isostatique en 2D."))</f>
        <v>La structure possède exactement 3 réactions inconnues : le solveur peut construire les 3 équations d’équilibre.</v>
      </c>
      <c r="D38" s="7"/>
      <c r="E38" s="7"/>
      <c r="F38" s="7"/>
      <c r="G38" s="1"/>
      <c r="H38" s="70"/>
      <c r="I38" s="70"/>
      <c r="J38" s="70"/>
      <c r="K38" s="70"/>
      <c r="L38" s="70"/>
      <c r="M38" s="70"/>
      <c r="N38" s="1"/>
    </row>
    <row r="39" spans="1:14" ht="17.55" customHeight="1">
      <c r="A39" s="1"/>
      <c r="B39" s="1"/>
      <c r="C39" s="1"/>
      <c r="D39" s="1"/>
      <c r="E39" s="1"/>
      <c r="F39" s="1"/>
      <c r="G39" s="1"/>
      <c r="H39" s="1"/>
      <c r="I39" s="1"/>
      <c r="J39" s="1"/>
      <c r="K39" s="1"/>
      <c r="L39" s="1"/>
      <c r="M39" s="1"/>
      <c r="N39" s="1"/>
    </row>
    <row r="40" spans="1:14" ht="17.55" customHeight="1">
      <c r="A40" s="1"/>
      <c r="B40" s="1"/>
      <c r="C40" s="1"/>
      <c r="D40" s="1"/>
      <c r="E40" s="1"/>
      <c r="F40" s="1"/>
      <c r="G40" s="1"/>
      <c r="H40" s="1"/>
      <c r="I40" s="1"/>
      <c r="J40" s="1"/>
      <c r="K40" s="1"/>
      <c r="L40" s="1"/>
      <c r="M40" s="1"/>
      <c r="N40" s="1"/>
    </row>
    <row r="41" spans="1:14" ht="17.55" customHeight="1">
      <c r="A41" s="1"/>
      <c r="B41" s="72"/>
      <c r="C41" s="72"/>
      <c r="D41" s="72"/>
      <c r="E41" s="72"/>
      <c r="F41" s="72"/>
      <c r="G41" s="72"/>
      <c r="H41" s="72"/>
      <c r="I41" s="72"/>
      <c r="J41" s="72"/>
      <c r="K41" s="72"/>
      <c r="L41" s="72"/>
      <c r="M41" s="72"/>
      <c r="N41" s="1"/>
    </row>
    <row r="42" spans="1:14" ht="17.55" customHeight="1">
      <c r="A42" s="1"/>
      <c r="B42" s="72"/>
      <c r="C42" s="72"/>
      <c r="D42" s="72"/>
      <c r="E42" s="72"/>
      <c r="F42" s="72"/>
      <c r="G42" s="72"/>
      <c r="H42" s="72"/>
      <c r="I42" s="72"/>
      <c r="J42" s="72"/>
      <c r="K42" s="72"/>
      <c r="L42" s="72"/>
      <c r="M42" s="72"/>
      <c r="N42" s="1"/>
    </row>
    <row r="43" spans="1:14" ht="17.55" customHeight="1">
      <c r="A43" s="1"/>
      <c r="B43" s="1"/>
      <c r="C43" s="1"/>
      <c r="D43" s="1"/>
      <c r="E43" s="1"/>
      <c r="F43" s="1"/>
      <c r="G43" s="1"/>
      <c r="H43" s="1"/>
      <c r="I43" s="1"/>
      <c r="J43" s="1"/>
      <c r="K43" s="1"/>
      <c r="L43" s="1"/>
      <c r="M43" s="1"/>
      <c r="N43" s="1"/>
    </row>
    <row r="44" spans="1:14" ht="17.55" customHeight="1">
      <c r="A44" s="1"/>
      <c r="B44" s="1"/>
      <c r="C44" s="1"/>
      <c r="D44" s="1"/>
      <c r="E44" s="1"/>
      <c r="F44" s="1"/>
      <c r="G44" s="1"/>
      <c r="H44" s="1"/>
      <c r="I44" s="1"/>
      <c r="J44" s="1"/>
      <c r="K44" s="1"/>
      <c r="L44" s="1"/>
      <c r="M44" s="1"/>
      <c r="N44" s="1"/>
    </row>
    <row r="45" spans="1:14" ht="17.55" customHeight="1">
      <c r="A45" s="1"/>
      <c r="B45" s="1"/>
      <c r="C45" s="1"/>
      <c r="D45" s="1"/>
      <c r="E45" s="1"/>
      <c r="F45" s="1"/>
      <c r="G45" s="1"/>
      <c r="H45" s="1"/>
      <c r="I45" s="1"/>
      <c r="J45" s="1"/>
      <c r="K45" s="1"/>
      <c r="L45" s="1"/>
      <c r="M45" s="1"/>
      <c r="N45" s="1"/>
    </row>
    <row r="46" spans="1:14" ht="17.55" customHeight="1">
      <c r="A46" s="1"/>
      <c r="B46" s="1"/>
      <c r="C46" s="1"/>
      <c r="D46" s="1"/>
      <c r="E46" s="1"/>
      <c r="F46" s="1"/>
      <c r="G46" s="1"/>
      <c r="H46" s="1"/>
      <c r="I46" s="1"/>
      <c r="J46" s="1"/>
      <c r="K46" s="1"/>
      <c r="L46" s="1"/>
      <c r="M46" s="1"/>
      <c r="N46" s="1"/>
    </row>
    <row r="47" spans="1:14" ht="17.55" customHeight="1">
      <c r="A47" s="1"/>
      <c r="B47" s="1"/>
      <c r="C47" s="1"/>
      <c r="D47" s="1"/>
      <c r="E47" s="1"/>
      <c r="F47" s="1"/>
      <c r="G47" s="1"/>
      <c r="H47" s="1"/>
      <c r="I47" s="1"/>
      <c r="J47" s="1"/>
      <c r="K47" s="1"/>
      <c r="L47" s="1"/>
      <c r="M47" s="1"/>
      <c r="N47" s="1"/>
    </row>
    <row r="48" spans="1:14" ht="17.55" customHeight="1">
      <c r="A48" s="1"/>
      <c r="B48" s="1"/>
      <c r="C48" s="1"/>
      <c r="D48" s="1"/>
      <c r="E48" s="1"/>
      <c r="F48" s="1"/>
      <c r="G48" s="1"/>
      <c r="H48" s="1"/>
      <c r="I48" s="1"/>
      <c r="J48" s="1"/>
      <c r="K48" s="1"/>
      <c r="L48" s="1"/>
      <c r="M48" s="1"/>
      <c r="N48" s="1"/>
    </row>
  </sheetData>
  <mergeCells count="8">
    <mergeCell ref="B32:M32"/>
    <mergeCell ref="H34:M38"/>
    <mergeCell ref="B41:M42"/>
    <mergeCell ref="B2:M3"/>
    <mergeCell ref="B4:M5"/>
    <mergeCell ref="B10:M10"/>
    <mergeCell ref="F12:M14"/>
    <mergeCell ref="B17:M17"/>
  </mergeCells>
  <dataValidations count="1">
    <dataValidation type="list" sqref="C20:C29">
      <formula1>"Rouleau,Rotule,Encastrement"</formula1>
    </dataValidation>
  </dataValidations>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3"/>
  <dimension ref="A1:L55"/>
  <sheetViews>
    <sheetView topLeftCell="A31" zoomScale="90" zoomScaleNormal="90" workbookViewId="0">
      <selection activeCell="G50" sqref="G50"/>
    </sheetView>
  </sheetViews>
  <sheetFormatPr baseColWidth="10" defaultColWidth="8.796875" defaultRowHeight="13.8"/>
  <cols>
    <col min="1" max="1" width="3" customWidth="1"/>
    <col min="2" max="2" width="16" customWidth="1"/>
    <col min="3" max="5" width="13" customWidth="1"/>
    <col min="6" max="6" width="18" customWidth="1"/>
    <col min="7" max="7" width="16" customWidth="1"/>
    <col min="8" max="8" width="24" customWidth="1"/>
    <col min="9" max="10" width="18" customWidth="1"/>
    <col min="11" max="11" width="22" customWidth="1"/>
    <col min="12" max="12" width="3" customWidth="1"/>
  </cols>
  <sheetData>
    <row r="1" spans="1:12" ht="17.55" customHeight="1">
      <c r="A1" s="14"/>
      <c r="B1" s="14"/>
      <c r="C1" s="14"/>
      <c r="D1" s="14"/>
      <c r="E1" s="14"/>
      <c r="F1" s="14"/>
      <c r="G1" s="14"/>
      <c r="H1" s="14"/>
      <c r="I1" s="14"/>
      <c r="J1" s="14"/>
      <c r="K1" s="14"/>
      <c r="L1" s="14"/>
    </row>
    <row r="2" spans="1:12" ht="17.55" customHeight="1">
      <c r="A2" s="14"/>
      <c r="B2" s="80" t="s">
        <v>35</v>
      </c>
      <c r="C2" s="80"/>
      <c r="D2" s="80"/>
      <c r="E2" s="80"/>
      <c r="F2" s="80"/>
      <c r="G2" s="80"/>
      <c r="H2" s="80"/>
      <c r="I2" s="80"/>
      <c r="J2" s="80"/>
      <c r="K2" s="80"/>
      <c r="L2" s="14"/>
    </row>
    <row r="3" spans="1:12" ht="17.55" customHeight="1">
      <c r="A3" s="14"/>
      <c r="B3" s="80"/>
      <c r="C3" s="80"/>
      <c r="D3" s="80"/>
      <c r="E3" s="80"/>
      <c r="F3" s="80"/>
      <c r="G3" s="80"/>
      <c r="H3" s="80"/>
      <c r="I3" s="80"/>
      <c r="J3" s="80"/>
      <c r="K3" s="80"/>
      <c r="L3" s="14"/>
    </row>
    <row r="4" spans="1:12" ht="17.55" customHeight="1">
      <c r="A4" s="14"/>
      <c r="B4" s="79" t="s">
        <v>36</v>
      </c>
      <c r="C4" s="79"/>
      <c r="D4" s="79"/>
      <c r="E4" s="79"/>
      <c r="F4" s="79"/>
      <c r="G4" s="79"/>
      <c r="H4" s="79"/>
      <c r="I4" s="79"/>
      <c r="J4" s="79"/>
      <c r="K4" s="79"/>
      <c r="L4" s="14"/>
    </row>
    <row r="5" spans="1:12" ht="17.55" customHeight="1">
      <c r="A5" s="14"/>
      <c r="B5" s="79"/>
      <c r="C5" s="79"/>
      <c r="D5" s="79"/>
      <c r="E5" s="79"/>
      <c r="F5" s="79"/>
      <c r="G5" s="79"/>
      <c r="H5" s="79"/>
      <c r="I5" s="79"/>
      <c r="J5" s="79"/>
      <c r="K5" s="79"/>
      <c r="L5" s="14"/>
    </row>
    <row r="6" spans="1:12" ht="17.55" customHeight="1">
      <c r="A6" s="14"/>
      <c r="B6" s="79"/>
      <c r="C6" s="79"/>
      <c r="D6" s="79"/>
      <c r="E6" s="79"/>
      <c r="F6" s="79"/>
      <c r="G6" s="79"/>
      <c r="H6" s="79"/>
      <c r="I6" s="79"/>
      <c r="J6" s="79"/>
      <c r="K6" s="79"/>
      <c r="L6" s="14"/>
    </row>
    <row r="7" spans="1:12" ht="17.55" customHeight="1">
      <c r="A7" s="14"/>
      <c r="B7" s="60"/>
      <c r="C7" s="60"/>
      <c r="D7" s="60"/>
      <c r="E7" s="60"/>
      <c r="F7" s="58"/>
      <c r="G7" s="14"/>
      <c r="H7" s="58"/>
      <c r="I7" s="58"/>
      <c r="J7" s="60"/>
      <c r="K7" s="62"/>
      <c r="L7" s="14"/>
    </row>
    <row r="8" spans="1:12" ht="17.55" customHeight="1">
      <c r="A8" s="14"/>
      <c r="B8" s="60"/>
      <c r="C8" s="60"/>
      <c r="D8" s="60"/>
      <c r="E8" s="60"/>
      <c r="F8" s="58"/>
      <c r="G8" s="14"/>
      <c r="H8" s="58"/>
      <c r="I8" s="58"/>
      <c r="J8" s="62"/>
      <c r="K8" s="62"/>
      <c r="L8" s="14"/>
    </row>
    <row r="9" spans="1:12" ht="17.55" customHeight="1">
      <c r="A9" s="14"/>
      <c r="B9" s="14"/>
      <c r="C9" s="14"/>
      <c r="D9" s="14"/>
      <c r="E9" s="14"/>
      <c r="F9" s="14"/>
      <c r="G9" s="14"/>
      <c r="H9" s="14"/>
      <c r="I9" s="14"/>
      <c r="J9" s="14"/>
      <c r="K9" s="14"/>
      <c r="L9" s="14"/>
    </row>
    <row r="10" spans="1:12" ht="17.55" customHeight="1">
      <c r="A10" s="14"/>
      <c r="B10" s="81" t="s">
        <v>37</v>
      </c>
      <c r="C10" s="81"/>
      <c r="D10" s="81"/>
      <c r="E10" s="81"/>
      <c r="F10" s="81"/>
      <c r="G10" s="14"/>
      <c r="H10" s="81" t="s">
        <v>38</v>
      </c>
      <c r="I10" s="81"/>
      <c r="J10" s="81"/>
      <c r="K10" s="81"/>
      <c r="L10" s="14"/>
    </row>
    <row r="11" spans="1:12" ht="17.55" customHeight="1">
      <c r="A11" s="14"/>
      <c r="B11" s="81"/>
      <c r="C11" s="81"/>
      <c r="D11" s="81"/>
      <c r="E11" s="81"/>
      <c r="F11" s="81"/>
      <c r="G11" s="14"/>
      <c r="H11" s="81"/>
      <c r="I11" s="81"/>
      <c r="J11" s="81"/>
      <c r="K11" s="81"/>
      <c r="L11" s="14"/>
    </row>
    <row r="12" spans="1:12" ht="17.55" customHeight="1">
      <c r="A12" s="14"/>
      <c r="B12" s="82" t="s">
        <v>39</v>
      </c>
      <c r="C12" s="82"/>
      <c r="D12" s="82"/>
      <c r="E12" s="82"/>
      <c r="F12" s="82"/>
      <c r="G12" s="14"/>
      <c r="H12" s="17" t="s">
        <v>27</v>
      </c>
      <c r="I12" s="17" t="s">
        <v>6</v>
      </c>
      <c r="J12" s="17" t="s">
        <v>7</v>
      </c>
      <c r="K12" s="17" t="s">
        <v>40</v>
      </c>
      <c r="L12" s="14"/>
    </row>
    <row r="13" spans="1:12" ht="17.55" customHeight="1">
      <c r="A13" s="14"/>
      <c r="B13" s="82"/>
      <c r="C13" s="82"/>
      <c r="D13" s="82"/>
      <c r="E13" s="82"/>
      <c r="F13" s="82"/>
      <c r="G13" s="14"/>
      <c r="H13" s="18" t="s">
        <v>41</v>
      </c>
      <c r="I13" s="19">
        <f>SUM(C21:C28)</f>
        <v>0</v>
      </c>
      <c r="J13" s="18" t="s">
        <v>42</v>
      </c>
      <c r="K13" s="18" t="s">
        <v>43</v>
      </c>
      <c r="L13" s="14"/>
    </row>
    <row r="14" spans="1:12" ht="17.55" customHeight="1">
      <c r="A14" s="14"/>
      <c r="B14" s="82"/>
      <c r="C14" s="82"/>
      <c r="D14" s="82"/>
      <c r="E14" s="82"/>
      <c r="F14" s="82"/>
      <c r="G14" s="14"/>
      <c r="H14" s="18" t="s">
        <v>44</v>
      </c>
      <c r="I14" s="19">
        <f>SUM(D21:D28)</f>
        <v>-5</v>
      </c>
      <c r="J14" s="18" t="s">
        <v>42</v>
      </c>
      <c r="K14" s="18" t="s">
        <v>45</v>
      </c>
      <c r="L14" s="14"/>
    </row>
    <row r="15" spans="1:12" ht="17.55" customHeight="1">
      <c r="A15" s="14"/>
      <c r="B15" s="14"/>
      <c r="C15" s="14"/>
      <c r="D15" s="14"/>
      <c r="E15" s="14"/>
      <c r="F15" s="14"/>
      <c r="G15" s="14"/>
      <c r="H15" s="18" t="s">
        <v>46</v>
      </c>
      <c r="I15" s="19">
        <f>SUM(G34:G41)</f>
        <v>-4</v>
      </c>
      <c r="J15" s="18" t="s">
        <v>42</v>
      </c>
      <c r="K15" s="18" t="s">
        <v>47</v>
      </c>
      <c r="L15" s="14"/>
    </row>
    <row r="16" spans="1:12" ht="17.55" customHeight="1">
      <c r="A16" s="14"/>
      <c r="B16" s="14"/>
      <c r="C16" s="14"/>
      <c r="D16" s="14"/>
      <c r="E16" s="14"/>
      <c r="F16" s="14"/>
      <c r="G16" s="14"/>
      <c r="H16" s="18" t="s">
        <v>48</v>
      </c>
      <c r="I16" s="19">
        <f>I14+I15</f>
        <v>-9</v>
      </c>
      <c r="J16" s="18" t="s">
        <v>42</v>
      </c>
      <c r="K16" s="18" t="s">
        <v>49</v>
      </c>
      <c r="L16" s="14"/>
    </row>
    <row r="17" spans="1:12" ht="17.55" customHeight="1">
      <c r="A17" s="14"/>
      <c r="B17" s="14"/>
      <c r="C17" s="14"/>
      <c r="D17" s="14"/>
      <c r="E17" s="14"/>
      <c r="F17" s="14"/>
      <c r="G17" s="14"/>
      <c r="H17" s="14"/>
      <c r="I17" s="14"/>
      <c r="J17" s="14"/>
      <c r="K17" s="14"/>
      <c r="L17" s="14"/>
    </row>
    <row r="18" spans="1:12" ht="17.55" customHeight="1">
      <c r="A18" s="14"/>
      <c r="B18" s="77" t="s">
        <v>50</v>
      </c>
      <c r="C18" s="77"/>
      <c r="D18" s="77"/>
      <c r="E18" s="77"/>
      <c r="F18" s="77"/>
      <c r="G18" s="77"/>
      <c r="H18" s="77"/>
      <c r="I18" s="77"/>
      <c r="J18" s="77"/>
      <c r="K18" s="77"/>
      <c r="L18" s="14"/>
    </row>
    <row r="19" spans="1:12" ht="17.55" customHeight="1">
      <c r="A19" s="14"/>
      <c r="B19" s="14"/>
      <c r="C19" s="14"/>
      <c r="D19" s="14"/>
      <c r="E19" s="14"/>
      <c r="F19" s="14"/>
      <c r="G19" s="14"/>
      <c r="H19" s="14"/>
      <c r="I19" s="14"/>
      <c r="J19" s="14"/>
      <c r="K19" s="14"/>
      <c r="L19" s="14"/>
    </row>
    <row r="20" spans="1:12" ht="34.799999999999997" customHeight="1">
      <c r="A20" s="14"/>
      <c r="B20" s="15" t="s">
        <v>14</v>
      </c>
      <c r="C20" s="15" t="s">
        <v>51</v>
      </c>
      <c r="D20" s="15" t="s">
        <v>52</v>
      </c>
      <c r="E20" s="15" t="s">
        <v>16</v>
      </c>
      <c r="F20" s="15" t="s">
        <v>7</v>
      </c>
      <c r="G20" s="15" t="s">
        <v>21</v>
      </c>
      <c r="H20" s="15" t="s">
        <v>53</v>
      </c>
      <c r="I20" s="61" t="s">
        <v>54</v>
      </c>
      <c r="J20" s="61"/>
      <c r="K20" s="14"/>
      <c r="L20" s="14"/>
    </row>
    <row r="21" spans="1:12" ht="14.4">
      <c r="A21" s="14"/>
      <c r="B21" s="59" t="s">
        <v>174</v>
      </c>
      <c r="C21" s="21">
        <v>0</v>
      </c>
      <c r="D21" s="21">
        <v>-5</v>
      </c>
      <c r="E21" s="21">
        <v>8</v>
      </c>
      <c r="F21" s="18" t="s">
        <v>42</v>
      </c>
      <c r="G21" s="22" t="str">
        <f>IF(B21="","",IF(AND(E21&gt;=0,E21&lt;=STRUCTURE!$C$13),"OK","Hors poutre"))</f>
        <v>OK</v>
      </c>
      <c r="H21" s="22" t="str">
        <f t="shared" ref="H21:H28" si="0">IF(B21="","",IF(D21&lt;0,"Descendante",IF(D21&gt;0,"Montante","Horizontale / nulle")))</f>
        <v>Descendante</v>
      </c>
      <c r="I21" s="22"/>
      <c r="J21" s="22"/>
      <c r="K21" s="14"/>
      <c r="L21" s="14"/>
    </row>
    <row r="22" spans="1:12" ht="14.4">
      <c r="A22" s="14"/>
      <c r="B22" s="20"/>
      <c r="C22" s="21"/>
      <c r="D22" s="21"/>
      <c r="E22" s="21"/>
      <c r="F22" s="18" t="s">
        <v>42</v>
      </c>
      <c r="G22" s="22" t="str">
        <f>IF(B22="","",IF(AND(E22&gt;=0,E22&lt;=STRUCTURE!$C$13),"OK","Hors poutre"))</f>
        <v/>
      </c>
      <c r="H22" s="22" t="str">
        <f t="shared" si="0"/>
        <v/>
      </c>
      <c r="I22" s="22"/>
      <c r="J22" s="22"/>
      <c r="K22" s="14"/>
      <c r="L22" s="14"/>
    </row>
    <row r="23" spans="1:12" ht="14.4">
      <c r="A23" s="14"/>
      <c r="B23" s="20"/>
      <c r="C23" s="21"/>
      <c r="D23" s="21"/>
      <c r="E23" s="21"/>
      <c r="F23" s="18" t="s">
        <v>42</v>
      </c>
      <c r="G23" s="22" t="str">
        <f>IF(B23="","",IF(AND(E23&gt;=0,E23&lt;=STRUCTURE!$C$13),"OK","Hors poutre"))</f>
        <v/>
      </c>
      <c r="H23" s="22" t="str">
        <f t="shared" si="0"/>
        <v/>
      </c>
      <c r="I23" s="22"/>
      <c r="J23" s="22"/>
      <c r="K23" s="14"/>
      <c r="L23" s="14"/>
    </row>
    <row r="24" spans="1:12" ht="14.4">
      <c r="A24" s="14"/>
      <c r="B24" s="20"/>
      <c r="C24" s="21"/>
      <c r="D24" s="21"/>
      <c r="E24" s="21"/>
      <c r="F24" s="18" t="s">
        <v>42</v>
      </c>
      <c r="G24" s="22" t="str">
        <f>IF(B24="","",IF(AND(E24&gt;=0,E24&lt;=STRUCTURE!$C$13),"OK","Hors poutre"))</f>
        <v/>
      </c>
      <c r="H24" s="22" t="str">
        <f t="shared" si="0"/>
        <v/>
      </c>
      <c r="I24" s="22"/>
      <c r="J24" s="22"/>
      <c r="K24" s="14"/>
      <c r="L24" s="14"/>
    </row>
    <row r="25" spans="1:12" ht="14.4">
      <c r="A25" s="14"/>
      <c r="B25" s="20"/>
      <c r="C25" s="21"/>
      <c r="D25" s="21"/>
      <c r="E25" s="21"/>
      <c r="F25" s="18" t="s">
        <v>42</v>
      </c>
      <c r="G25" s="22" t="str">
        <f>IF(B25="","",IF(AND(E25&gt;=0,E25&lt;=STRUCTURE!$C$13),"OK","Hors poutre"))</f>
        <v/>
      </c>
      <c r="H25" s="22" t="str">
        <f t="shared" si="0"/>
        <v/>
      </c>
      <c r="I25" s="22"/>
      <c r="J25" s="22"/>
      <c r="K25" s="14"/>
      <c r="L25" s="14"/>
    </row>
    <row r="26" spans="1:12" ht="14.4">
      <c r="A26" s="14"/>
      <c r="B26" s="20"/>
      <c r="C26" s="21"/>
      <c r="D26" s="21"/>
      <c r="E26" s="21"/>
      <c r="F26" s="18" t="s">
        <v>42</v>
      </c>
      <c r="G26" s="22" t="str">
        <f>IF(B26="","",IF(AND(E26&gt;=0,E26&lt;=STRUCTURE!$C$13),"OK","Hors poutre"))</f>
        <v/>
      </c>
      <c r="H26" s="22" t="str">
        <f t="shared" si="0"/>
        <v/>
      </c>
      <c r="I26" s="22"/>
      <c r="J26" s="22"/>
      <c r="K26" s="14"/>
      <c r="L26" s="14"/>
    </row>
    <row r="27" spans="1:12" ht="14.4">
      <c r="A27" s="14"/>
      <c r="B27" s="20"/>
      <c r="C27" s="21"/>
      <c r="D27" s="21"/>
      <c r="E27" s="21"/>
      <c r="F27" s="18" t="s">
        <v>42</v>
      </c>
      <c r="G27" s="22" t="str">
        <f>IF(B27="","",IF(AND(E27&gt;=0,E27&lt;=STRUCTURE!$C$13),"OK","Hors poutre"))</f>
        <v/>
      </c>
      <c r="H27" s="22" t="str">
        <f t="shared" si="0"/>
        <v/>
      </c>
      <c r="I27" s="22"/>
      <c r="J27" s="22"/>
      <c r="K27" s="14"/>
      <c r="L27" s="14"/>
    </row>
    <row r="28" spans="1:12" ht="14.4">
      <c r="A28" s="14"/>
      <c r="B28" s="20"/>
      <c r="C28" s="21"/>
      <c r="D28" s="21"/>
      <c r="E28" s="21"/>
      <c r="F28" s="18" t="s">
        <v>42</v>
      </c>
      <c r="G28" s="22" t="str">
        <f>IF(B28="","",IF(AND(E28&gt;=0,E28&lt;=STRUCTURE!$C$13),"OK","Hors poutre"))</f>
        <v/>
      </c>
      <c r="H28" s="22" t="str">
        <f t="shared" si="0"/>
        <v/>
      </c>
      <c r="I28" s="22"/>
      <c r="J28" s="22"/>
      <c r="K28" s="14"/>
      <c r="L28" s="14"/>
    </row>
    <row r="29" spans="1:12" ht="14.4">
      <c r="A29" s="14"/>
      <c r="B29" s="14"/>
      <c r="C29" s="14"/>
      <c r="D29" s="14"/>
      <c r="E29" s="14"/>
      <c r="F29" s="14"/>
      <c r="G29" s="14"/>
      <c r="H29" s="14"/>
      <c r="I29" s="14"/>
      <c r="J29" s="14"/>
      <c r="K29" s="14"/>
      <c r="L29" s="14"/>
    </row>
    <row r="30" spans="1:12" ht="14.4">
      <c r="A30" s="14"/>
      <c r="B30" s="14"/>
      <c r="C30" s="14"/>
      <c r="D30" s="14"/>
      <c r="E30" s="14"/>
      <c r="F30" s="14"/>
      <c r="G30" s="14"/>
      <c r="H30" s="14"/>
      <c r="I30" s="14"/>
      <c r="J30" s="14"/>
      <c r="K30" s="14"/>
      <c r="L30" s="14"/>
    </row>
    <row r="31" spans="1:12" ht="17.399999999999999">
      <c r="A31" s="14"/>
      <c r="B31" s="77" t="s">
        <v>55</v>
      </c>
      <c r="C31" s="77"/>
      <c r="D31" s="77"/>
      <c r="E31" s="77"/>
      <c r="F31" s="77"/>
      <c r="G31" s="77"/>
      <c r="H31" s="77"/>
      <c r="I31" s="77"/>
      <c r="J31" s="77"/>
      <c r="K31" s="77"/>
      <c r="L31" s="14"/>
    </row>
    <row r="32" spans="1:12" ht="14.4">
      <c r="A32" s="14"/>
      <c r="B32" s="14"/>
      <c r="C32" s="14"/>
      <c r="D32" s="14"/>
      <c r="E32" s="14"/>
      <c r="F32" s="14"/>
      <c r="G32" s="14"/>
      <c r="H32" s="14"/>
      <c r="I32" s="14"/>
      <c r="J32" s="14"/>
      <c r="K32" s="14"/>
      <c r="L32" s="14"/>
    </row>
    <row r="33" spans="1:12" ht="28.8">
      <c r="A33" s="14"/>
      <c r="B33" s="16" t="s">
        <v>14</v>
      </c>
      <c r="C33" s="16" t="s">
        <v>56</v>
      </c>
      <c r="D33" s="16" t="s">
        <v>57</v>
      </c>
      <c r="E33" s="16" t="s">
        <v>58</v>
      </c>
      <c r="F33" s="16" t="s">
        <v>59</v>
      </c>
      <c r="G33" s="16" t="s">
        <v>60</v>
      </c>
      <c r="H33" s="16" t="s">
        <v>61</v>
      </c>
      <c r="I33" s="16" t="s">
        <v>62</v>
      </c>
      <c r="J33" s="16" t="s">
        <v>54</v>
      </c>
      <c r="K33" s="14"/>
      <c r="L33" s="14"/>
    </row>
    <row r="34" spans="1:12" ht="14.4">
      <c r="A34" s="14"/>
      <c r="B34" s="68" t="s">
        <v>173</v>
      </c>
      <c r="C34" s="24">
        <v>-2</v>
      </c>
      <c r="D34" s="24">
        <v>3</v>
      </c>
      <c r="E34" s="24">
        <v>5</v>
      </c>
      <c r="F34" s="25">
        <f t="shared" ref="F34:F41" si="1">IF(B34="","",E34-D34)</f>
        <v>2</v>
      </c>
      <c r="G34" s="25">
        <f t="shared" ref="G34:G41" si="2">IF(B34="","",C34*F34)</f>
        <v>-4</v>
      </c>
      <c r="H34" s="22">
        <f t="shared" ref="H34:H41" si="3">IF(B34="","",(D34+E34)/2)</f>
        <v>4</v>
      </c>
      <c r="I34" s="22" t="str">
        <f>IF(B34="","",IF(AND(D34&gt;=0,E34&lt;=STRUCTURE!$C$13,E34&gt;D34),"OK","Erreur intervalle"))</f>
        <v>OK</v>
      </c>
      <c r="J34" s="18"/>
      <c r="K34" s="14"/>
      <c r="L34" s="14"/>
    </row>
    <row r="35" spans="1:12" ht="14.4">
      <c r="A35" s="14"/>
      <c r="B35" s="23"/>
      <c r="C35" s="24"/>
      <c r="D35" s="24"/>
      <c r="E35" s="24"/>
      <c r="F35" s="25" t="str">
        <f t="shared" si="1"/>
        <v/>
      </c>
      <c r="G35" s="25" t="str">
        <f t="shared" si="2"/>
        <v/>
      </c>
      <c r="H35" s="22" t="str">
        <f t="shared" si="3"/>
        <v/>
      </c>
      <c r="I35" s="22" t="str">
        <f>IF(B35="","",IF(AND(D35&gt;=0,E35&lt;=STRUCTURE!$C$13,E35&gt;D35),"OK","Erreur intervalle"))</f>
        <v/>
      </c>
      <c r="J35" s="18"/>
      <c r="K35" s="14"/>
      <c r="L35" s="14"/>
    </row>
    <row r="36" spans="1:12" ht="14.4">
      <c r="A36" s="14"/>
      <c r="B36" s="23"/>
      <c r="C36" s="24"/>
      <c r="D36" s="24"/>
      <c r="E36" s="24"/>
      <c r="F36" s="25" t="str">
        <f t="shared" si="1"/>
        <v/>
      </c>
      <c r="G36" s="25" t="str">
        <f t="shared" si="2"/>
        <v/>
      </c>
      <c r="H36" s="22" t="str">
        <f t="shared" si="3"/>
        <v/>
      </c>
      <c r="I36" s="22" t="str">
        <f>IF(B36="","",IF(AND(D36&gt;=0,E36&lt;=STRUCTURE!$C$13,E36&gt;D36),"OK","Erreur intervalle"))</f>
        <v/>
      </c>
      <c r="J36" s="18"/>
      <c r="K36" s="14"/>
      <c r="L36" s="14"/>
    </row>
    <row r="37" spans="1:12" ht="14.4">
      <c r="A37" s="14"/>
      <c r="B37" s="23"/>
      <c r="C37" s="24"/>
      <c r="D37" s="24"/>
      <c r="E37" s="24"/>
      <c r="F37" s="25" t="str">
        <f t="shared" si="1"/>
        <v/>
      </c>
      <c r="G37" s="25" t="str">
        <f t="shared" si="2"/>
        <v/>
      </c>
      <c r="H37" s="22" t="str">
        <f t="shared" si="3"/>
        <v/>
      </c>
      <c r="I37" s="22" t="str">
        <f>IF(B37="","",IF(AND(D37&gt;=0,E37&lt;=STRUCTURE!$C$13,E37&gt;D37),"OK","Erreur intervalle"))</f>
        <v/>
      </c>
      <c r="J37" s="18"/>
      <c r="K37" s="14"/>
      <c r="L37" s="14"/>
    </row>
    <row r="38" spans="1:12" ht="14.4">
      <c r="A38" s="14"/>
      <c r="B38" s="23"/>
      <c r="C38" s="24"/>
      <c r="D38" s="24"/>
      <c r="E38" s="24"/>
      <c r="F38" s="25" t="str">
        <f t="shared" si="1"/>
        <v/>
      </c>
      <c r="G38" s="25" t="str">
        <f t="shared" si="2"/>
        <v/>
      </c>
      <c r="H38" s="22" t="str">
        <f t="shared" si="3"/>
        <v/>
      </c>
      <c r="I38" s="22" t="str">
        <f>IF(B38="","",IF(AND(D38&gt;=0,E38&lt;=STRUCTURE!$C$13,E38&gt;D38),"OK","Erreur intervalle"))</f>
        <v/>
      </c>
      <c r="J38" s="18"/>
      <c r="K38" s="14"/>
      <c r="L38" s="14"/>
    </row>
    <row r="39" spans="1:12" ht="14.4">
      <c r="A39" s="14"/>
      <c r="B39" s="23"/>
      <c r="C39" s="24"/>
      <c r="D39" s="24"/>
      <c r="E39" s="24"/>
      <c r="F39" s="25" t="str">
        <f t="shared" si="1"/>
        <v/>
      </c>
      <c r="G39" s="25" t="str">
        <f t="shared" si="2"/>
        <v/>
      </c>
      <c r="H39" s="22" t="str">
        <f t="shared" si="3"/>
        <v/>
      </c>
      <c r="I39" s="22" t="str">
        <f>IF(B39="","",IF(AND(D39&gt;=0,E39&lt;=STRUCTURE!$C$13,E39&gt;D39),"OK","Erreur intervalle"))</f>
        <v/>
      </c>
      <c r="J39" s="18"/>
      <c r="K39" s="14"/>
      <c r="L39" s="14"/>
    </row>
    <row r="40" spans="1:12" ht="14.4">
      <c r="A40" s="14"/>
      <c r="B40" s="23"/>
      <c r="C40" s="24"/>
      <c r="D40" s="24"/>
      <c r="E40" s="24"/>
      <c r="F40" s="25" t="str">
        <f t="shared" si="1"/>
        <v/>
      </c>
      <c r="G40" s="25" t="str">
        <f t="shared" si="2"/>
        <v/>
      </c>
      <c r="H40" s="22" t="str">
        <f t="shared" si="3"/>
        <v/>
      </c>
      <c r="I40" s="22" t="str">
        <f>IF(B40="","",IF(AND(D40&gt;=0,E40&lt;=STRUCTURE!$C$13,E40&gt;D40),"OK","Erreur intervalle"))</f>
        <v/>
      </c>
      <c r="J40" s="18"/>
      <c r="K40" s="14"/>
      <c r="L40" s="14"/>
    </row>
    <row r="41" spans="1:12" ht="14.4">
      <c r="A41" s="14"/>
      <c r="B41" s="23"/>
      <c r="C41" s="24"/>
      <c r="D41" s="24"/>
      <c r="E41" s="24"/>
      <c r="F41" s="25" t="str">
        <f t="shared" si="1"/>
        <v/>
      </c>
      <c r="G41" s="25" t="str">
        <f t="shared" si="2"/>
        <v/>
      </c>
      <c r="H41" s="22" t="str">
        <f t="shared" si="3"/>
        <v/>
      </c>
      <c r="I41" s="22" t="str">
        <f>IF(B41="","",IF(AND(D41&gt;=0,E41&lt;=STRUCTURE!$C$13,E41&gt;D41),"OK","Erreur intervalle"))</f>
        <v/>
      </c>
      <c r="J41" s="18"/>
      <c r="K41" s="14"/>
      <c r="L41" s="14"/>
    </row>
    <row r="42" spans="1:12" ht="14.4">
      <c r="A42" s="14"/>
      <c r="B42" s="14"/>
      <c r="C42" s="14"/>
      <c r="D42" s="14"/>
      <c r="E42" s="14"/>
      <c r="F42" s="14"/>
      <c r="G42" s="14"/>
      <c r="H42" s="14"/>
      <c r="I42" s="14"/>
      <c r="J42" s="14"/>
      <c r="K42" s="14"/>
      <c r="L42" s="14"/>
    </row>
    <row r="43" spans="1:12" ht="14.4">
      <c r="A43" s="14"/>
      <c r="B43" s="14"/>
      <c r="C43" s="14"/>
      <c r="D43" s="14"/>
      <c r="E43" s="14"/>
      <c r="F43" s="14"/>
      <c r="G43" s="14"/>
      <c r="H43" s="14"/>
      <c r="I43" s="14"/>
      <c r="J43" s="14"/>
      <c r="K43" s="14"/>
      <c r="L43" s="14"/>
    </row>
    <row r="44" spans="1:12" ht="17.399999999999999">
      <c r="A44" s="14"/>
      <c r="B44" s="77" t="s">
        <v>63</v>
      </c>
      <c r="C44" s="77"/>
      <c r="D44" s="77"/>
      <c r="E44" s="77"/>
      <c r="F44" s="77"/>
      <c r="G44" s="77"/>
      <c r="H44" s="77"/>
      <c r="I44" s="77"/>
      <c r="J44" s="77"/>
      <c r="K44" s="77"/>
      <c r="L44" s="14"/>
    </row>
    <row r="45" spans="1:12" ht="14.4">
      <c r="A45" s="14"/>
      <c r="B45" s="14"/>
      <c r="C45" s="14"/>
      <c r="D45" s="14"/>
      <c r="E45" s="14"/>
      <c r="F45" s="14"/>
      <c r="G45" s="14"/>
      <c r="H45" s="14"/>
      <c r="I45" s="14"/>
      <c r="J45" s="14"/>
      <c r="K45" s="14"/>
      <c r="L45" s="14"/>
    </row>
    <row r="46" spans="1:12" ht="14.4">
      <c r="A46" s="14"/>
      <c r="B46" s="26" t="s">
        <v>64</v>
      </c>
      <c r="C46" s="26" t="s">
        <v>65</v>
      </c>
      <c r="D46" s="26" t="s">
        <v>66</v>
      </c>
      <c r="E46" s="14"/>
      <c r="F46" s="14"/>
      <c r="G46" s="14"/>
      <c r="H46" s="14"/>
      <c r="I46" s="14"/>
      <c r="J46" s="14"/>
      <c r="K46" s="14"/>
      <c r="L46" s="14"/>
    </row>
    <row r="47" spans="1:12" ht="72">
      <c r="A47" s="14"/>
      <c r="B47" s="18" t="s">
        <v>67</v>
      </c>
      <c r="C47" s="18" t="str">
        <f>IF(COUNTIF(G21:G28,"Hors poutre")=0,"OK","Erreur")</f>
        <v>OK</v>
      </c>
      <c r="D47" s="18" t="s">
        <v>68</v>
      </c>
      <c r="E47" s="14"/>
      <c r="F47" s="14"/>
      <c r="G47" s="14"/>
      <c r="H47" s="14"/>
      <c r="I47" s="14"/>
      <c r="J47" s="14"/>
      <c r="K47" s="14"/>
      <c r="L47" s="14"/>
    </row>
    <row r="48" spans="1:12" ht="57.6">
      <c r="A48" s="14"/>
      <c r="B48" s="18" t="s">
        <v>69</v>
      </c>
      <c r="C48" s="18" t="str">
        <f>IF(COUNTIF(I34:I41,"Erreur intervalle")=0,"OK","Erreur")</f>
        <v>OK</v>
      </c>
      <c r="D48" s="18" t="s">
        <v>70</v>
      </c>
      <c r="E48" s="14"/>
      <c r="F48" s="14"/>
      <c r="G48" s="14"/>
      <c r="H48" s="14"/>
      <c r="I48" s="14"/>
      <c r="J48" s="14"/>
      <c r="K48" s="14"/>
      <c r="L48" s="14"/>
    </row>
    <row r="49" spans="1:12" ht="72">
      <c r="A49" s="14"/>
      <c r="B49" s="18" t="s">
        <v>71</v>
      </c>
      <c r="C49" s="18" t="str">
        <f>IF(AND(C47="OK",C48="OK"),"CHARGES VALIDES","À CORRIGER")</f>
        <v>CHARGES VALIDES</v>
      </c>
      <c r="D49" s="18" t="s">
        <v>72</v>
      </c>
      <c r="E49" s="14"/>
      <c r="F49" s="14"/>
      <c r="G49" s="14"/>
      <c r="H49" s="14"/>
      <c r="I49" s="14"/>
      <c r="J49" s="14"/>
      <c r="K49" s="14"/>
      <c r="L49" s="14"/>
    </row>
    <row r="50" spans="1:12" ht="14.4">
      <c r="A50" s="14"/>
      <c r="B50" s="14"/>
      <c r="C50" s="14"/>
      <c r="D50" s="14"/>
      <c r="E50" s="14"/>
      <c r="F50" s="14"/>
      <c r="G50" s="14"/>
      <c r="H50" s="14"/>
      <c r="I50" s="14"/>
      <c r="J50" s="14"/>
      <c r="K50" s="14"/>
      <c r="L50" s="14"/>
    </row>
    <row r="51" spans="1:12" ht="14.4">
      <c r="A51" s="14"/>
      <c r="B51" s="14"/>
      <c r="C51" s="14"/>
      <c r="D51" s="14"/>
      <c r="E51" s="14"/>
      <c r="F51" s="14"/>
      <c r="G51" s="14"/>
      <c r="H51" s="14"/>
      <c r="I51" s="14"/>
      <c r="J51" s="14"/>
      <c r="K51" s="14"/>
      <c r="L51" s="14"/>
    </row>
    <row r="52" spans="1:12" ht="14.4" customHeight="1">
      <c r="A52" s="14"/>
      <c r="B52" s="78"/>
      <c r="C52" s="78"/>
      <c r="D52" s="78"/>
      <c r="E52" s="78"/>
      <c r="F52" s="78"/>
      <c r="G52" s="78"/>
      <c r="H52" s="78"/>
      <c r="I52" s="78"/>
      <c r="J52" s="78"/>
      <c r="K52" s="78"/>
      <c r="L52" s="14"/>
    </row>
    <row r="53" spans="1:12" ht="14.4">
      <c r="A53" s="14"/>
      <c r="B53" s="78"/>
      <c r="C53" s="78"/>
      <c r="D53" s="78"/>
      <c r="E53" s="78"/>
      <c r="F53" s="78"/>
      <c r="G53" s="78"/>
      <c r="H53" s="78"/>
      <c r="I53" s="78"/>
      <c r="J53" s="78"/>
      <c r="K53" s="78"/>
      <c r="L53" s="14"/>
    </row>
    <row r="54" spans="1:12" ht="14.4">
      <c r="A54" s="14"/>
      <c r="B54" s="14"/>
      <c r="C54" s="14"/>
      <c r="D54" s="14"/>
      <c r="E54" s="14"/>
      <c r="F54" s="14"/>
      <c r="G54" s="14"/>
      <c r="H54" s="14"/>
      <c r="I54" s="14"/>
      <c r="J54" s="14"/>
      <c r="K54" s="14"/>
      <c r="L54" s="14"/>
    </row>
    <row r="55" spans="1:12" ht="14.4">
      <c r="A55" s="14"/>
      <c r="B55" s="14"/>
      <c r="C55" s="14"/>
      <c r="D55" s="14"/>
      <c r="E55" s="14"/>
      <c r="F55" s="14"/>
      <c r="G55" s="14"/>
      <c r="H55" s="14"/>
      <c r="I55" s="14"/>
      <c r="J55" s="14"/>
      <c r="K55" s="14"/>
      <c r="L55" s="14"/>
    </row>
  </sheetData>
  <mergeCells count="9">
    <mergeCell ref="B2:K3"/>
    <mergeCell ref="B10:F11"/>
    <mergeCell ref="B12:F14"/>
    <mergeCell ref="H10:K11"/>
    <mergeCell ref="B44:K44"/>
    <mergeCell ref="B52:K53"/>
    <mergeCell ref="B18:K18"/>
    <mergeCell ref="B31:K31"/>
    <mergeCell ref="B4:K6"/>
  </mergeCells>
  <conditionalFormatting sqref="G21:G28">
    <cfRule type="expression" dxfId="7" priority="1">
      <formula>G21="OK"</formula>
    </cfRule>
    <cfRule type="expression" dxfId="6" priority="2">
      <formula>G21="Hors poutre"</formula>
    </cfRule>
  </conditionalFormatting>
  <conditionalFormatting sqref="I34:I41">
    <cfRule type="expression" dxfId="5" priority="3">
      <formula>I34="OK"</formula>
    </cfRule>
    <cfRule type="expression" dxfId="4" priority="4">
      <formula>I34="Erreur intervalle"</formula>
    </cfRule>
  </conditionalFormatting>
  <conditionalFormatting sqref="C47:C49">
    <cfRule type="expression" dxfId="3" priority="5">
      <formula>OR(C47="Erreur",C47="À CORRIGER")</formula>
    </cfRule>
    <cfRule type="expression" dxfId="2" priority="6">
      <formula>OR(C47="OK",C47="CHARGES VALIDES")</formula>
    </cfRule>
  </conditionalFormatting>
  <pageMargins left="0.7" right="0.7" top="0.75" bottom="0.75" header="0.3" footer="0.3"/>
  <pageSetup paperSize="9"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4"/>
  <dimension ref="A1:K60"/>
  <sheetViews>
    <sheetView topLeftCell="A39" zoomScaleNormal="100" workbookViewId="0">
      <selection activeCell="H14" sqref="H14"/>
    </sheetView>
  </sheetViews>
  <sheetFormatPr baseColWidth="10" defaultColWidth="8.796875" defaultRowHeight="13.8"/>
  <cols>
    <col min="1" max="1" width="3" customWidth="1"/>
    <col min="2" max="3" width="16" customWidth="1"/>
    <col min="4" max="4" width="7.09765625" customWidth="1"/>
    <col min="5" max="5" width="15" customWidth="1"/>
    <col min="6" max="6" width="4" customWidth="1"/>
    <col min="7" max="8" width="16" customWidth="1"/>
    <col min="9" max="10" width="15" customWidth="1"/>
    <col min="11" max="11" width="3" customWidth="1"/>
  </cols>
  <sheetData>
    <row r="1" spans="1:11" ht="17.55" customHeight="1">
      <c r="A1" s="27"/>
      <c r="B1" s="28"/>
      <c r="C1" s="28"/>
      <c r="D1" s="28"/>
      <c r="E1" s="28"/>
      <c r="F1" s="28"/>
      <c r="G1" s="28"/>
      <c r="H1" s="28"/>
      <c r="I1" s="28"/>
      <c r="J1" s="28"/>
      <c r="K1" s="27"/>
    </row>
    <row r="2" spans="1:11" ht="17.55" customHeight="1">
      <c r="A2" s="27"/>
      <c r="B2" s="99" t="s">
        <v>73</v>
      </c>
      <c r="C2" s="99"/>
      <c r="D2" s="99"/>
      <c r="E2" s="99"/>
      <c r="F2" s="99"/>
      <c r="G2" s="99"/>
      <c r="H2" s="99"/>
      <c r="I2" s="99"/>
      <c r="J2" s="99"/>
      <c r="K2" s="27"/>
    </row>
    <row r="3" spans="1:11" ht="17.55" customHeight="1">
      <c r="A3" s="27"/>
      <c r="B3" s="99"/>
      <c r="C3" s="99"/>
      <c r="D3" s="99"/>
      <c r="E3" s="99"/>
      <c r="F3" s="99"/>
      <c r="G3" s="99"/>
      <c r="H3" s="99"/>
      <c r="I3" s="99"/>
      <c r="J3" s="99"/>
      <c r="K3" s="27"/>
    </row>
    <row r="4" spans="1:11" ht="17.55" customHeight="1">
      <c r="A4" s="27"/>
      <c r="B4" s="100" t="s">
        <v>74</v>
      </c>
      <c r="C4" s="100"/>
      <c r="D4" s="100"/>
      <c r="E4" s="100"/>
      <c r="F4" s="100"/>
      <c r="G4" s="100"/>
      <c r="H4" s="100"/>
      <c r="I4" s="100"/>
      <c r="J4" s="100"/>
      <c r="K4" s="27"/>
    </row>
    <row r="5" spans="1:11" ht="17.55" customHeight="1">
      <c r="A5" s="27"/>
      <c r="B5" s="100"/>
      <c r="C5" s="100"/>
      <c r="D5" s="100"/>
      <c r="E5" s="100"/>
      <c r="F5" s="100"/>
      <c r="G5" s="100"/>
      <c r="H5" s="100"/>
      <c r="I5" s="100"/>
      <c r="J5" s="100"/>
      <c r="K5" s="27"/>
    </row>
    <row r="6" spans="1:11" ht="17.55" customHeight="1">
      <c r="A6" s="27"/>
      <c r="B6" s="28"/>
      <c r="C6" s="28"/>
      <c r="D6" s="28"/>
      <c r="E6" s="28"/>
      <c r="F6" s="28"/>
      <c r="G6" s="28"/>
      <c r="H6" s="28"/>
      <c r="I6" s="28"/>
      <c r="J6" s="28"/>
      <c r="K6" s="27"/>
    </row>
    <row r="7" spans="1:11" ht="17.55" customHeight="1">
      <c r="A7" s="27"/>
      <c r="B7" s="78"/>
      <c r="C7" s="58"/>
      <c r="D7" s="58"/>
      <c r="E7" s="58"/>
      <c r="F7" s="58"/>
      <c r="G7" s="58"/>
      <c r="H7" s="58"/>
      <c r="I7" s="58"/>
      <c r="J7" s="58"/>
      <c r="K7" s="27"/>
    </row>
    <row r="8" spans="1:11" ht="17.55" customHeight="1">
      <c r="A8" s="27"/>
      <c r="B8" s="78"/>
      <c r="C8" s="58"/>
      <c r="D8" s="58"/>
      <c r="E8" s="58"/>
      <c r="F8" s="58"/>
      <c r="G8" s="58"/>
      <c r="H8" s="58"/>
      <c r="I8" s="58"/>
      <c r="J8" s="58"/>
      <c r="K8" s="27"/>
    </row>
    <row r="9" spans="1:11" ht="17.55" customHeight="1">
      <c r="A9" s="27"/>
      <c r="B9" s="28"/>
      <c r="C9" s="28"/>
      <c r="D9" s="28"/>
      <c r="E9" s="28"/>
      <c r="F9" s="28"/>
      <c r="G9" s="28"/>
      <c r="H9" s="28"/>
      <c r="I9" s="28"/>
      <c r="J9" s="28"/>
      <c r="K9" s="27"/>
    </row>
    <row r="10" spans="1:11" ht="17.55" customHeight="1">
      <c r="A10" s="27"/>
      <c r="B10" s="83" t="s">
        <v>75</v>
      </c>
      <c r="C10" s="83"/>
      <c r="D10" s="83"/>
      <c r="E10" s="83"/>
      <c r="F10" s="83"/>
      <c r="G10" s="83"/>
      <c r="H10" s="83"/>
      <c r="I10" s="83"/>
      <c r="J10" s="83"/>
      <c r="K10" s="27"/>
    </row>
    <row r="11" spans="1:11" ht="17.55" customHeight="1">
      <c r="A11" s="27"/>
      <c r="B11" s="28"/>
      <c r="C11" s="28"/>
      <c r="D11" s="28"/>
      <c r="E11" s="28"/>
      <c r="F11" s="28"/>
      <c r="G11" s="28"/>
      <c r="H11" s="28"/>
      <c r="I11" s="28"/>
      <c r="J11" s="28"/>
      <c r="K11" s="27"/>
    </row>
    <row r="12" spans="1:11" ht="17.55" customHeight="1">
      <c r="A12" s="27"/>
      <c r="B12" s="29" t="s">
        <v>64</v>
      </c>
      <c r="C12" s="29" t="s">
        <v>65</v>
      </c>
      <c r="D12" s="97" t="s">
        <v>76</v>
      </c>
      <c r="E12" s="97"/>
      <c r="F12" s="28"/>
      <c r="G12" s="28"/>
      <c r="H12" s="28"/>
      <c r="I12" s="28"/>
      <c r="J12" s="28"/>
      <c r="K12" s="27"/>
    </row>
    <row r="13" spans="1:11" ht="29.4" customHeight="1">
      <c r="A13" s="27"/>
      <c r="B13" s="30" t="s">
        <v>77</v>
      </c>
      <c r="C13" s="31" t="str">
        <f>STRUCTURE!C37</f>
        <v>ISOSTATIQUE</v>
      </c>
      <c r="D13" s="98" t="s">
        <v>78</v>
      </c>
      <c r="E13" s="98"/>
      <c r="F13" s="28"/>
      <c r="G13" s="28"/>
      <c r="H13" s="28"/>
      <c r="I13" s="28"/>
      <c r="J13" s="28"/>
      <c r="K13" s="27"/>
    </row>
    <row r="14" spans="1:11" ht="28.8" customHeight="1">
      <c r="A14" s="27"/>
      <c r="B14" s="30" t="s">
        <v>79</v>
      </c>
      <c r="C14" s="31" t="str">
        <f>CHARGES!C49</f>
        <v>CHARGES VALIDES</v>
      </c>
      <c r="D14" s="98" t="s">
        <v>80</v>
      </c>
      <c r="E14" s="98"/>
      <c r="F14" s="28"/>
      <c r="G14" s="28"/>
      <c r="H14" s="28"/>
      <c r="I14" s="28"/>
      <c r="J14" s="28"/>
      <c r="K14" s="27"/>
    </row>
    <row r="15" spans="1:11" ht="26.4" customHeight="1">
      <c r="A15" s="27"/>
      <c r="B15" s="30" t="s">
        <v>81</v>
      </c>
      <c r="C15" s="31" t="str">
        <f>IF(AND(C13="ISOSTATIQUE",C14="CHARGES VALIDES"),"PRÊT POUR LE CALCUL","À CORRIGER")</f>
        <v>PRÊT POUR LE CALCUL</v>
      </c>
      <c r="D15" s="98" t="s">
        <v>82</v>
      </c>
      <c r="E15" s="98"/>
      <c r="F15" s="28"/>
      <c r="G15" s="28"/>
      <c r="H15" s="28"/>
      <c r="I15" s="28"/>
      <c r="J15" s="28"/>
      <c r="K15" s="27"/>
    </row>
    <row r="16" spans="1:11" ht="43.8" customHeight="1">
      <c r="A16" s="27"/>
      <c r="B16" s="30" t="s">
        <v>83</v>
      </c>
      <c r="C16" s="31" t="s">
        <v>84</v>
      </c>
      <c r="D16" s="98" t="s">
        <v>85</v>
      </c>
      <c r="E16" s="98"/>
      <c r="F16" s="28"/>
      <c r="G16" s="28"/>
      <c r="H16" s="28"/>
      <c r="I16" s="28"/>
      <c r="J16" s="28"/>
      <c r="K16" s="27"/>
    </row>
    <row r="17" spans="1:11" ht="17.55" customHeight="1">
      <c r="A17" s="27"/>
      <c r="B17" s="28"/>
      <c r="C17" s="28"/>
      <c r="D17" s="28"/>
      <c r="E17" s="28"/>
      <c r="F17" s="28"/>
      <c r="G17" s="28"/>
      <c r="H17" s="28"/>
      <c r="I17" s="28"/>
      <c r="J17" s="28"/>
      <c r="K17" s="27"/>
    </row>
    <row r="18" spans="1:11" ht="17.55" customHeight="1">
      <c r="A18" s="27"/>
      <c r="B18" s="93" t="s">
        <v>86</v>
      </c>
      <c r="C18" s="93"/>
      <c r="D18" s="93"/>
      <c r="E18" s="93"/>
      <c r="F18" s="28"/>
      <c r="G18" s="94" t="s">
        <v>87</v>
      </c>
      <c r="H18" s="94"/>
      <c r="I18" s="94"/>
      <c r="J18" s="94"/>
      <c r="K18" s="27"/>
    </row>
    <row r="19" spans="1:11" ht="17.55" customHeight="1">
      <c r="A19" s="27"/>
      <c r="B19" s="28"/>
      <c r="C19" s="28"/>
      <c r="D19" s="28"/>
      <c r="E19" s="28"/>
      <c r="F19" s="28"/>
      <c r="G19" s="28"/>
      <c r="H19" s="28"/>
      <c r="I19" s="28"/>
      <c r="J19" s="28"/>
      <c r="K19" s="27"/>
    </row>
    <row r="20" spans="1:11" ht="17.55" customHeight="1">
      <c r="A20" s="27"/>
      <c r="B20" s="29" t="s">
        <v>88</v>
      </c>
      <c r="C20" s="29" t="s">
        <v>89</v>
      </c>
      <c r="D20" s="29" t="s">
        <v>6</v>
      </c>
      <c r="E20" s="29" t="s">
        <v>7</v>
      </c>
      <c r="F20" s="28"/>
      <c r="G20" s="29" t="s">
        <v>90</v>
      </c>
      <c r="H20" s="29" t="s">
        <v>91</v>
      </c>
      <c r="I20" s="29" t="s">
        <v>16</v>
      </c>
      <c r="J20" s="29" t="s">
        <v>7</v>
      </c>
      <c r="K20" s="27"/>
    </row>
    <row r="21" spans="1:11" ht="17.55" customHeight="1">
      <c r="A21" s="27"/>
      <c r="B21" s="30" t="s">
        <v>93</v>
      </c>
      <c r="C21" s="32" t="s">
        <v>23</v>
      </c>
      <c r="D21" s="33">
        <v>-2.3333333333333335</v>
      </c>
      <c r="E21" s="31" t="s">
        <v>42</v>
      </c>
      <c r="F21" s="28"/>
      <c r="G21" s="30" t="s">
        <v>92</v>
      </c>
      <c r="H21" s="33">
        <v>0</v>
      </c>
      <c r="I21" s="33">
        <v>0</v>
      </c>
      <c r="J21" s="31" t="s">
        <v>42</v>
      </c>
      <c r="K21" s="27"/>
    </row>
    <row r="22" spans="1:11" ht="17.55" customHeight="1">
      <c r="A22" s="27"/>
      <c r="B22" s="30" t="s">
        <v>171</v>
      </c>
      <c r="C22" s="32" t="s">
        <v>170</v>
      </c>
      <c r="D22" s="33">
        <v>11.333333333333334</v>
      </c>
      <c r="E22" s="31" t="s">
        <v>42</v>
      </c>
      <c r="F22" s="28"/>
      <c r="G22" s="30" t="s">
        <v>94</v>
      </c>
      <c r="H22" s="33">
        <v>7.3333333333333339</v>
      </c>
      <c r="I22" s="33">
        <v>7</v>
      </c>
      <c r="J22" s="31" t="s">
        <v>42</v>
      </c>
      <c r="K22" s="27"/>
    </row>
    <row r="23" spans="1:11" ht="17.55" customHeight="1">
      <c r="A23" s="27"/>
      <c r="B23" s="30" t="s">
        <v>172</v>
      </c>
      <c r="C23" s="32" t="s">
        <v>170</v>
      </c>
      <c r="D23" s="33">
        <v>0</v>
      </c>
      <c r="E23" s="31" t="s">
        <v>95</v>
      </c>
      <c r="F23" s="28"/>
      <c r="G23" s="30" t="s">
        <v>96</v>
      </c>
      <c r="H23" s="33">
        <v>-12</v>
      </c>
      <c r="I23" s="33">
        <v>7</v>
      </c>
      <c r="J23" s="31" t="s">
        <v>95</v>
      </c>
      <c r="K23" s="27"/>
    </row>
    <row r="24" spans="1:11" ht="17.55" customHeight="1">
      <c r="A24" s="27"/>
      <c r="B24" s="30"/>
      <c r="C24" s="32"/>
      <c r="D24" s="33"/>
      <c r="E24" s="31" t="s">
        <v>42</v>
      </c>
      <c r="F24" s="28"/>
      <c r="G24" s="30" t="s">
        <v>97</v>
      </c>
      <c r="H24" s="33">
        <v>0</v>
      </c>
      <c r="I24" s="33">
        <v>0</v>
      </c>
      <c r="J24" s="31" t="s">
        <v>42</v>
      </c>
      <c r="K24" s="27"/>
    </row>
    <row r="25" spans="1:11" ht="17.55" customHeight="1">
      <c r="A25" s="27"/>
      <c r="B25" s="30"/>
      <c r="C25" s="32"/>
      <c r="D25" s="33"/>
      <c r="E25" s="31" t="s">
        <v>42</v>
      </c>
      <c r="F25" s="28"/>
      <c r="G25" s="30" t="s">
        <v>98</v>
      </c>
      <c r="H25" s="33">
        <v>7.3333333333333339</v>
      </c>
      <c r="I25" s="33">
        <v>7</v>
      </c>
      <c r="J25" s="31" t="s">
        <v>42</v>
      </c>
      <c r="K25" s="27"/>
    </row>
    <row r="26" spans="1:11" ht="17.55" customHeight="1">
      <c r="A26" s="27"/>
      <c r="B26" s="30"/>
      <c r="C26" s="32"/>
      <c r="D26" s="33"/>
      <c r="E26" s="31" t="s">
        <v>95</v>
      </c>
      <c r="F26" s="28"/>
      <c r="G26" s="30" t="s">
        <v>99</v>
      </c>
      <c r="H26" s="33">
        <v>12</v>
      </c>
      <c r="I26" s="33">
        <v>7</v>
      </c>
      <c r="J26" s="31" t="s">
        <v>95</v>
      </c>
      <c r="K26" s="27"/>
    </row>
    <row r="27" spans="1:11" ht="17.55" customHeight="1">
      <c r="A27" s="27"/>
      <c r="B27" s="30"/>
      <c r="C27" s="32"/>
      <c r="D27" s="33"/>
      <c r="E27" s="31"/>
      <c r="F27" s="28"/>
      <c r="G27" s="28"/>
      <c r="H27" s="28"/>
      <c r="I27" s="28"/>
      <c r="J27" s="28"/>
      <c r="K27" s="27"/>
    </row>
    <row r="28" spans="1:11" ht="17.55" customHeight="1">
      <c r="A28" s="27"/>
      <c r="B28" s="28"/>
      <c r="C28" s="28"/>
      <c r="D28" s="28"/>
      <c r="E28" s="28"/>
      <c r="F28" s="28"/>
      <c r="G28" s="28"/>
      <c r="H28" s="28"/>
      <c r="I28" s="28"/>
      <c r="J28" s="28"/>
      <c r="K28" s="27"/>
    </row>
    <row r="29" spans="1:11" ht="17.55" customHeight="1">
      <c r="A29" s="27"/>
      <c r="B29" s="28"/>
      <c r="C29" s="28"/>
      <c r="D29" s="28"/>
      <c r="E29" s="28"/>
      <c r="F29" s="28"/>
      <c r="G29" s="28"/>
      <c r="H29" s="28"/>
      <c r="I29" s="28"/>
      <c r="J29" s="28"/>
      <c r="K29" s="27"/>
    </row>
    <row r="30" spans="1:11" ht="17.55" customHeight="1">
      <c r="A30" s="27"/>
      <c r="B30" s="95" t="s">
        <v>100</v>
      </c>
      <c r="C30" s="95"/>
      <c r="D30" s="95"/>
      <c r="E30" s="95"/>
      <c r="F30" s="28"/>
      <c r="G30" s="96" t="s">
        <v>101</v>
      </c>
      <c r="H30" s="96"/>
      <c r="I30" s="96"/>
      <c r="J30" s="96"/>
      <c r="K30" s="27"/>
    </row>
    <row r="31" spans="1:11" ht="17.55" customHeight="1">
      <c r="A31" s="27"/>
      <c r="B31" s="28"/>
      <c r="C31" s="28"/>
      <c r="D31" s="28"/>
      <c r="E31" s="28"/>
      <c r="F31" s="28"/>
      <c r="G31" s="28"/>
      <c r="H31" s="28"/>
      <c r="I31" s="28"/>
      <c r="J31" s="28"/>
      <c r="K31" s="27"/>
    </row>
    <row r="32" spans="1:11" ht="17.55" customHeight="1">
      <c r="A32" s="27"/>
      <c r="B32" s="29" t="s">
        <v>5</v>
      </c>
      <c r="C32" s="29" t="s">
        <v>6</v>
      </c>
      <c r="D32" s="29" t="s">
        <v>7</v>
      </c>
      <c r="E32" s="29" t="s">
        <v>102</v>
      </c>
      <c r="F32" s="28"/>
      <c r="G32" s="29" t="s">
        <v>27</v>
      </c>
      <c r="H32" s="29" t="s">
        <v>6</v>
      </c>
      <c r="I32" s="29" t="s">
        <v>7</v>
      </c>
      <c r="J32" s="29" t="s">
        <v>103</v>
      </c>
      <c r="K32" s="27"/>
    </row>
    <row r="33" spans="1:11" ht="41.4" customHeight="1">
      <c r="A33" s="27"/>
      <c r="B33" s="30" t="s">
        <v>104</v>
      </c>
      <c r="C33" s="33">
        <v>10</v>
      </c>
      <c r="D33" s="32" t="s">
        <v>10</v>
      </c>
      <c r="E33" s="32" t="s">
        <v>105</v>
      </c>
      <c r="F33" s="28"/>
      <c r="G33" s="32" t="s">
        <v>106</v>
      </c>
      <c r="H33" s="34">
        <f>STRUCTURE!C13</f>
        <v>20</v>
      </c>
      <c r="I33" s="32" t="s">
        <v>10</v>
      </c>
      <c r="J33" s="32" t="s">
        <v>107</v>
      </c>
      <c r="K33" s="27"/>
    </row>
    <row r="34" spans="1:11" ht="36.6" customHeight="1">
      <c r="A34" s="27"/>
      <c r="B34" s="30" t="s">
        <v>108</v>
      </c>
      <c r="C34" s="33">
        <v>0</v>
      </c>
      <c r="D34" s="32" t="s">
        <v>42</v>
      </c>
      <c r="E34" s="32" t="s">
        <v>109</v>
      </c>
      <c r="F34" s="28"/>
      <c r="G34" s="32" t="s">
        <v>48</v>
      </c>
      <c r="H34" s="34">
        <f>CHARGES!I15</f>
        <v>-4</v>
      </c>
      <c r="I34" s="32" t="s">
        <v>42</v>
      </c>
      <c r="J34" s="32" t="s">
        <v>110</v>
      </c>
      <c r="K34" s="27"/>
    </row>
    <row r="35" spans="1:11" ht="38.4" customHeight="1">
      <c r="A35" s="27"/>
      <c r="B35" s="30" t="s">
        <v>111</v>
      </c>
      <c r="C35" s="33">
        <v>0</v>
      </c>
      <c r="D35" s="32" t="s">
        <v>42</v>
      </c>
      <c r="E35" s="32" t="s">
        <v>112</v>
      </c>
      <c r="F35" s="28"/>
      <c r="G35" s="32" t="s">
        <v>113</v>
      </c>
      <c r="H35" s="34">
        <f>COUNTA(STRUCTURE!B20:B29)</f>
        <v>2</v>
      </c>
      <c r="I35" s="32" t="s">
        <v>12</v>
      </c>
      <c r="J35" s="32" t="s">
        <v>114</v>
      </c>
      <c r="K35" s="27"/>
    </row>
    <row r="36" spans="1:11" ht="41.4" customHeight="1">
      <c r="A36" s="27"/>
      <c r="B36" s="30" t="s">
        <v>115</v>
      </c>
      <c r="C36" s="33">
        <v>0</v>
      </c>
      <c r="D36" s="32" t="s">
        <v>95</v>
      </c>
      <c r="E36" s="32" t="s">
        <v>116</v>
      </c>
      <c r="F36" s="28"/>
      <c r="G36" s="32" t="s">
        <v>11</v>
      </c>
      <c r="H36" s="34">
        <f>STRUCTURE!C14</f>
        <v>10</v>
      </c>
      <c r="I36" s="32" t="s">
        <v>12</v>
      </c>
      <c r="J36" s="32" t="s">
        <v>117</v>
      </c>
      <c r="K36" s="27"/>
    </row>
    <row r="37" spans="1:11" ht="17.55" customHeight="1">
      <c r="A37" s="27"/>
      <c r="B37" s="28"/>
      <c r="C37" s="28"/>
      <c r="D37" s="28"/>
      <c r="E37" s="28"/>
      <c r="F37" s="28"/>
      <c r="G37" s="28"/>
      <c r="H37" s="28"/>
      <c r="I37" s="28"/>
      <c r="J37" s="28"/>
      <c r="K37" s="27"/>
    </row>
    <row r="38" spans="1:11" ht="17.55" customHeight="1">
      <c r="A38" s="27"/>
      <c r="B38" s="28"/>
      <c r="C38" s="28"/>
      <c r="D38" s="28"/>
      <c r="E38" s="28"/>
      <c r="F38" s="28"/>
      <c r="G38" s="28"/>
      <c r="H38" s="28"/>
      <c r="I38" s="28"/>
      <c r="J38" s="28"/>
      <c r="K38" s="27"/>
    </row>
    <row r="39" spans="1:11" ht="17.55" customHeight="1">
      <c r="A39" s="27"/>
      <c r="B39" s="28"/>
      <c r="C39" s="28"/>
      <c r="D39" s="28"/>
      <c r="E39" s="28"/>
      <c r="F39" s="28"/>
      <c r="G39" s="28"/>
      <c r="H39" s="28"/>
      <c r="I39" s="28"/>
      <c r="J39" s="28"/>
      <c r="K39" s="27"/>
    </row>
    <row r="40" spans="1:11" ht="17.55" customHeight="1">
      <c r="A40" s="27"/>
      <c r="B40" s="83" t="s">
        <v>118</v>
      </c>
      <c r="C40" s="83"/>
      <c r="D40" s="83"/>
      <c r="E40" s="83"/>
      <c r="F40" s="83"/>
      <c r="G40" s="83"/>
      <c r="H40" s="83"/>
      <c r="I40" s="83"/>
      <c r="J40" s="83"/>
      <c r="K40" s="27"/>
    </row>
    <row r="41" spans="1:11" ht="17.55" customHeight="1">
      <c r="A41" s="27"/>
      <c r="B41" s="28"/>
      <c r="C41" s="28"/>
      <c r="D41" s="28"/>
      <c r="E41" s="28"/>
      <c r="F41" s="28"/>
      <c r="G41" s="28"/>
      <c r="H41" s="28"/>
      <c r="I41" s="28"/>
      <c r="J41" s="28"/>
      <c r="K41" s="27"/>
    </row>
    <row r="42" spans="1:11" ht="17.55" customHeight="1">
      <c r="A42" s="27"/>
      <c r="B42" s="29" t="s">
        <v>119</v>
      </c>
      <c r="C42" s="29" t="s">
        <v>6</v>
      </c>
      <c r="D42" s="29" t="s">
        <v>7</v>
      </c>
      <c r="E42" s="29" t="s">
        <v>120</v>
      </c>
      <c r="F42" s="29"/>
      <c r="G42" s="29" t="s">
        <v>119</v>
      </c>
      <c r="H42" s="29" t="s">
        <v>6</v>
      </c>
      <c r="I42" s="29" t="s">
        <v>7</v>
      </c>
      <c r="J42" s="29" t="s">
        <v>120</v>
      </c>
      <c r="K42" s="27"/>
    </row>
    <row r="43" spans="1:11" ht="36" customHeight="1">
      <c r="A43" s="27"/>
      <c r="B43" s="32" t="s">
        <v>93</v>
      </c>
      <c r="C43" s="33">
        <v>-2.3333333333333335</v>
      </c>
      <c r="D43" s="32" t="s">
        <v>42</v>
      </c>
      <c r="E43" s="32" t="s">
        <v>121</v>
      </c>
      <c r="F43" s="32"/>
      <c r="G43" s="32" t="s">
        <v>92</v>
      </c>
      <c r="H43" s="33">
        <v>0</v>
      </c>
      <c r="I43" s="32" t="s">
        <v>42</v>
      </c>
      <c r="J43" s="32" t="s">
        <v>122</v>
      </c>
      <c r="K43" s="27"/>
    </row>
    <row r="44" spans="1:11" ht="37.799999999999997" customHeight="1">
      <c r="A44" s="27"/>
      <c r="B44" s="32" t="s">
        <v>171</v>
      </c>
      <c r="C44" s="33">
        <v>11.333333333333334</v>
      </c>
      <c r="D44" s="32" t="s">
        <v>42</v>
      </c>
      <c r="E44" s="32" t="s">
        <v>123</v>
      </c>
      <c r="F44" s="32"/>
      <c r="G44" s="32" t="s">
        <v>124</v>
      </c>
      <c r="H44" s="33">
        <v>0</v>
      </c>
      <c r="I44" s="32" t="s">
        <v>10</v>
      </c>
      <c r="J44" s="32" t="s">
        <v>125</v>
      </c>
      <c r="K44" s="27"/>
    </row>
    <row r="45" spans="1:11" ht="33.6" customHeight="1">
      <c r="A45" s="27"/>
      <c r="B45" s="32" t="s">
        <v>172</v>
      </c>
      <c r="C45" s="33">
        <v>0</v>
      </c>
      <c r="D45" s="32" t="s">
        <v>42</v>
      </c>
      <c r="E45" s="32" t="s">
        <v>126</v>
      </c>
      <c r="F45" s="32"/>
      <c r="G45" s="32" t="s">
        <v>94</v>
      </c>
      <c r="H45" s="33">
        <v>7.3333333333333339</v>
      </c>
      <c r="I45" s="32" t="s">
        <v>42</v>
      </c>
      <c r="J45" s="32" t="s">
        <v>127</v>
      </c>
      <c r="K45" s="27"/>
    </row>
    <row r="46" spans="1:11" ht="28.8">
      <c r="A46" s="27"/>
      <c r="B46" s="32" t="s">
        <v>128</v>
      </c>
      <c r="C46" s="33">
        <v>0</v>
      </c>
      <c r="D46" s="32" t="s">
        <v>42</v>
      </c>
      <c r="E46" s="32" t="s">
        <v>129</v>
      </c>
      <c r="F46" s="32"/>
      <c r="G46" s="32" t="s">
        <v>130</v>
      </c>
      <c r="H46" s="33">
        <v>7</v>
      </c>
      <c r="I46" s="32" t="s">
        <v>10</v>
      </c>
      <c r="J46" s="32" t="s">
        <v>131</v>
      </c>
      <c r="K46" s="27"/>
    </row>
    <row r="47" spans="1:11" ht="29.4" customHeight="1">
      <c r="A47" s="27"/>
      <c r="B47" s="54" t="s">
        <v>132</v>
      </c>
      <c r="C47" s="33">
        <v>0</v>
      </c>
      <c r="D47" s="32" t="s">
        <v>42</v>
      </c>
      <c r="E47" s="32" t="s">
        <v>133</v>
      </c>
      <c r="F47" s="32"/>
      <c r="G47" s="32" t="s">
        <v>96</v>
      </c>
      <c r="H47" s="33">
        <v>-12</v>
      </c>
      <c r="I47" s="32" t="s">
        <v>95</v>
      </c>
      <c r="J47" s="32" t="s">
        <v>134</v>
      </c>
      <c r="K47" s="27"/>
    </row>
    <row r="48" spans="1:11" ht="35.4" customHeight="1">
      <c r="A48" s="27"/>
      <c r="B48" s="32" t="s">
        <v>135</v>
      </c>
      <c r="C48" s="33">
        <v>0</v>
      </c>
      <c r="D48" s="32" t="s">
        <v>95</v>
      </c>
      <c r="E48" s="32" t="s">
        <v>136</v>
      </c>
      <c r="F48" s="32"/>
      <c r="G48" s="32" t="s">
        <v>137</v>
      </c>
      <c r="H48" s="33">
        <v>7</v>
      </c>
      <c r="I48" s="32" t="s">
        <v>10</v>
      </c>
      <c r="J48" s="32" t="s">
        <v>138</v>
      </c>
      <c r="K48" s="27"/>
    </row>
    <row r="49" spans="1:11" ht="38.4" customHeight="1">
      <c r="A49" s="27"/>
      <c r="B49" s="32" t="s">
        <v>139</v>
      </c>
      <c r="C49" s="33">
        <v>10</v>
      </c>
      <c r="D49" s="32" t="s">
        <v>10</v>
      </c>
      <c r="E49" s="32" t="s">
        <v>140</v>
      </c>
      <c r="F49" s="32"/>
      <c r="G49" s="32" t="s">
        <v>141</v>
      </c>
      <c r="H49" s="33">
        <v>11</v>
      </c>
      <c r="I49" s="32" t="s">
        <v>12</v>
      </c>
      <c r="J49" s="32" t="s">
        <v>142</v>
      </c>
      <c r="K49" s="27"/>
    </row>
    <row r="50" spans="1:11" ht="37.200000000000003" customHeight="1">
      <c r="A50" s="27"/>
      <c r="B50" s="32" t="s">
        <v>143</v>
      </c>
      <c r="C50" s="33" t="s">
        <v>169</v>
      </c>
      <c r="D50" s="32" t="s">
        <v>12</v>
      </c>
      <c r="E50" s="32" t="s">
        <v>144</v>
      </c>
      <c r="F50" s="32"/>
      <c r="G50" s="32" t="s">
        <v>145</v>
      </c>
      <c r="H50" s="33"/>
      <c r="I50" s="32" t="s">
        <v>12</v>
      </c>
      <c r="J50" s="32" t="s">
        <v>146</v>
      </c>
      <c r="K50" s="27"/>
    </row>
    <row r="51" spans="1:11" ht="17.55" customHeight="1">
      <c r="A51" s="27"/>
      <c r="B51" s="28"/>
      <c r="C51" s="28"/>
      <c r="D51" s="28"/>
      <c r="E51" s="28"/>
      <c r="F51" s="28"/>
      <c r="G51" s="28"/>
      <c r="H51" s="28"/>
      <c r="I51" s="28"/>
      <c r="J51" s="28"/>
      <c r="K51" s="27"/>
    </row>
    <row r="52" spans="1:11" ht="17.55" customHeight="1">
      <c r="A52" s="27"/>
      <c r="B52" s="28"/>
      <c r="C52" s="28"/>
      <c r="D52" s="28"/>
      <c r="E52" s="28"/>
      <c r="F52" s="28"/>
      <c r="G52" s="28"/>
      <c r="H52" s="28"/>
      <c r="I52" s="28"/>
      <c r="J52" s="28"/>
      <c r="K52" s="27"/>
    </row>
    <row r="53" spans="1:11" ht="17.55" customHeight="1">
      <c r="A53" s="27"/>
      <c r="B53" s="83" t="s">
        <v>147</v>
      </c>
      <c r="C53" s="83"/>
      <c r="D53" s="83"/>
      <c r="E53" s="83"/>
      <c r="F53" s="83"/>
      <c r="G53" s="83"/>
      <c r="H53" s="83"/>
      <c r="I53" s="83"/>
      <c r="J53" s="83"/>
      <c r="K53" s="27"/>
    </row>
    <row r="54" spans="1:11" ht="17.55" customHeight="1">
      <c r="A54" s="27"/>
      <c r="B54" s="84" t="s">
        <v>148</v>
      </c>
      <c r="C54" s="85"/>
      <c r="D54" s="85"/>
      <c r="E54" s="85"/>
      <c r="F54" s="85"/>
      <c r="G54" s="85"/>
      <c r="H54" s="85"/>
      <c r="I54" s="85"/>
      <c r="J54" s="86"/>
      <c r="K54" s="27"/>
    </row>
    <row r="55" spans="1:11" ht="17.55" customHeight="1">
      <c r="A55" s="27"/>
      <c r="B55" s="87"/>
      <c r="C55" s="88"/>
      <c r="D55" s="88"/>
      <c r="E55" s="88"/>
      <c r="F55" s="88"/>
      <c r="G55" s="88"/>
      <c r="H55" s="88"/>
      <c r="I55" s="88"/>
      <c r="J55" s="89"/>
      <c r="K55" s="27"/>
    </row>
    <row r="56" spans="1:11" ht="17.55" customHeight="1">
      <c r="A56" s="27"/>
      <c r="B56" s="87"/>
      <c r="C56" s="88"/>
      <c r="D56" s="88"/>
      <c r="E56" s="88"/>
      <c r="F56" s="88"/>
      <c r="G56" s="88"/>
      <c r="H56" s="88"/>
      <c r="I56" s="88"/>
      <c r="J56" s="89"/>
      <c r="K56" s="27"/>
    </row>
    <row r="57" spans="1:11" ht="17.55" customHeight="1">
      <c r="A57" s="27"/>
      <c r="B57" s="90"/>
      <c r="C57" s="91"/>
      <c r="D57" s="91"/>
      <c r="E57" s="91"/>
      <c r="F57" s="91"/>
      <c r="G57" s="91"/>
      <c r="H57" s="91"/>
      <c r="I57" s="91"/>
      <c r="J57" s="92"/>
      <c r="K57" s="27"/>
    </row>
    <row r="58" spans="1:11" ht="17.55" customHeight="1">
      <c r="A58" s="27"/>
      <c r="B58" s="28"/>
      <c r="C58" s="28"/>
      <c r="D58" s="28"/>
      <c r="E58" s="28"/>
      <c r="F58" s="28"/>
      <c r="G58" s="28"/>
      <c r="H58" s="28"/>
      <c r="I58" s="28"/>
      <c r="J58" s="28"/>
      <c r="K58" s="27"/>
    </row>
    <row r="59" spans="1:11" ht="17.55" customHeight="1">
      <c r="A59" s="27"/>
      <c r="B59" s="28"/>
      <c r="C59" s="28"/>
      <c r="D59" s="28"/>
      <c r="E59" s="28"/>
      <c r="F59" s="28"/>
      <c r="G59" s="28"/>
      <c r="H59" s="28"/>
      <c r="I59" s="28"/>
      <c r="J59" s="28"/>
      <c r="K59" s="27"/>
    </row>
    <row r="60" spans="1:11" ht="17.55" customHeight="1">
      <c r="A60" s="27"/>
      <c r="B60" s="28"/>
      <c r="C60" s="28"/>
      <c r="D60" s="28"/>
      <c r="E60" s="28"/>
      <c r="F60" s="28"/>
      <c r="G60" s="28"/>
      <c r="H60" s="28"/>
      <c r="I60" s="28"/>
      <c r="J60" s="28"/>
      <c r="K60" s="27"/>
    </row>
  </sheetData>
  <mergeCells count="16">
    <mergeCell ref="B2:J3"/>
    <mergeCell ref="B4:J5"/>
    <mergeCell ref="B40:J40"/>
    <mergeCell ref="B7:B8"/>
    <mergeCell ref="B53:J53"/>
    <mergeCell ref="B54:J57"/>
    <mergeCell ref="B10:J10"/>
    <mergeCell ref="B18:E18"/>
    <mergeCell ref="G18:J18"/>
    <mergeCell ref="B30:E30"/>
    <mergeCell ref="G30:J30"/>
    <mergeCell ref="D12:E12"/>
    <mergeCell ref="D13:E13"/>
    <mergeCell ref="D14:E14"/>
    <mergeCell ref="D15:E15"/>
    <mergeCell ref="D16:E16"/>
  </mergeCells>
  <conditionalFormatting sqref="C13:C15">
    <cfRule type="expression" dxfId="1" priority="1">
      <formula>C13="ISOSTATIQUE"</formula>
    </cfRule>
    <cfRule type="expression" dxfId="0" priority="2">
      <formula>OR(C13="À CORRIGER",C13&lt;&gt;"ISOSTATIQUE")</formula>
    </cfRule>
  </conditionalFormatting>
  <pageMargins left="0.7" right="0.7" top="0.75" bottom="0.75" header="0.3" footer="0.3"/>
  <pageSetup paperSize="9"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5"/>
  <dimension ref="A1:K130"/>
  <sheetViews>
    <sheetView tabSelected="1" zoomScale="80" zoomScaleNormal="80" workbookViewId="0">
      <selection activeCell="B11" sqref="B11:J14"/>
    </sheetView>
  </sheetViews>
  <sheetFormatPr baseColWidth="10" defaultColWidth="8.796875" defaultRowHeight="13.8"/>
  <cols>
    <col min="1" max="1" width="3" customWidth="1"/>
    <col min="2" max="5" width="15" customWidth="1"/>
    <col min="6" max="6" width="4" customWidth="1"/>
    <col min="7" max="10" width="16" customWidth="1"/>
    <col min="11" max="11" width="3" customWidth="1"/>
  </cols>
  <sheetData>
    <row r="1" spans="1:11" ht="17.55" customHeight="1">
      <c r="A1" s="35"/>
      <c r="B1" s="35"/>
      <c r="C1" s="35"/>
      <c r="D1" s="35"/>
      <c r="E1" s="35"/>
      <c r="F1" s="35"/>
      <c r="G1" s="35"/>
      <c r="H1" s="35"/>
      <c r="I1" s="35"/>
      <c r="J1" s="35"/>
      <c r="K1" s="36"/>
    </row>
    <row r="2" spans="1:11" ht="24" customHeight="1">
      <c r="A2" s="35"/>
      <c r="B2" s="122" t="s">
        <v>149</v>
      </c>
      <c r="C2" s="123"/>
      <c r="D2" s="123"/>
      <c r="E2" s="123"/>
      <c r="F2" s="123"/>
      <c r="G2" s="123"/>
      <c r="H2" s="123"/>
      <c r="I2" s="123"/>
      <c r="J2" s="124"/>
      <c r="K2" s="36"/>
    </row>
    <row r="3" spans="1:11" ht="24" customHeight="1">
      <c r="A3" s="35"/>
      <c r="B3" s="125"/>
      <c r="C3" s="126"/>
      <c r="D3" s="126"/>
      <c r="E3" s="126"/>
      <c r="F3" s="126"/>
      <c r="G3" s="126"/>
      <c r="H3" s="126"/>
      <c r="I3" s="126"/>
      <c r="J3" s="127"/>
      <c r="K3" s="36"/>
    </row>
    <row r="4" spans="1:11" ht="17.55" customHeight="1">
      <c r="A4" s="35"/>
      <c r="B4" s="128" t="s">
        <v>150</v>
      </c>
      <c r="C4" s="129"/>
      <c r="D4" s="129"/>
      <c r="E4" s="129"/>
      <c r="F4" s="129"/>
      <c r="G4" s="129"/>
      <c r="H4" s="129"/>
      <c r="I4" s="129"/>
      <c r="J4" s="130"/>
      <c r="K4" s="36"/>
    </row>
    <row r="5" spans="1:11" ht="17.55" customHeight="1">
      <c r="A5" s="35"/>
      <c r="B5" s="131"/>
      <c r="C5" s="132"/>
      <c r="D5" s="132"/>
      <c r="E5" s="132"/>
      <c r="F5" s="132"/>
      <c r="G5" s="132"/>
      <c r="H5" s="132"/>
      <c r="I5" s="132"/>
      <c r="J5" s="133"/>
      <c r="K5" s="36"/>
    </row>
    <row r="6" spans="1:11" ht="17.55" customHeight="1">
      <c r="A6" s="35"/>
      <c r="B6" s="35"/>
      <c r="C6" s="35"/>
      <c r="D6" s="35"/>
      <c r="E6" s="35"/>
      <c r="F6" s="35"/>
      <c r="G6" s="35"/>
      <c r="H6" s="35"/>
      <c r="I6" s="35"/>
      <c r="J6" s="35"/>
      <c r="K6" s="36"/>
    </row>
    <row r="7" spans="1:11" ht="20.85" customHeight="1">
      <c r="A7" s="35"/>
      <c r="B7" s="65"/>
      <c r="C7" s="65"/>
      <c r="D7" s="66"/>
      <c r="E7" s="66"/>
      <c r="F7" s="66"/>
      <c r="G7" s="66"/>
      <c r="H7" s="67"/>
      <c r="I7" s="67"/>
      <c r="J7" s="67"/>
      <c r="K7" s="36"/>
    </row>
    <row r="8" spans="1:11" ht="20.85" customHeight="1">
      <c r="A8" s="35"/>
      <c r="B8" s="65"/>
      <c r="C8" s="65"/>
      <c r="D8" s="66"/>
      <c r="E8" s="66"/>
      <c r="F8" s="66"/>
      <c r="G8" s="66"/>
      <c r="H8" s="67"/>
      <c r="I8" s="67"/>
      <c r="J8" s="67"/>
      <c r="K8" s="36"/>
    </row>
    <row r="9" spans="1:11" ht="17.55" customHeight="1">
      <c r="A9" s="35"/>
      <c r="B9" s="35"/>
      <c r="C9" s="35"/>
      <c r="D9" s="35"/>
      <c r="E9" s="35"/>
      <c r="F9" s="35"/>
      <c r="G9" s="35"/>
      <c r="H9" s="35"/>
      <c r="I9" s="35"/>
      <c r="J9" s="35"/>
      <c r="K9" s="36"/>
    </row>
    <row r="10" spans="1:11" ht="17.55" customHeight="1">
      <c r="A10" s="35"/>
      <c r="B10" s="101" t="s">
        <v>151</v>
      </c>
      <c r="C10" s="102"/>
      <c r="D10" s="102"/>
      <c r="E10" s="102"/>
      <c r="F10" s="102"/>
      <c r="G10" s="102"/>
      <c r="H10" s="102"/>
      <c r="I10" s="102"/>
      <c r="J10" s="103"/>
      <c r="K10" s="36"/>
    </row>
    <row r="11" spans="1:11" ht="24" customHeight="1">
      <c r="A11" s="35"/>
      <c r="B11" s="113" t="s">
        <v>152</v>
      </c>
      <c r="C11" s="114"/>
      <c r="D11" s="114"/>
      <c r="E11" s="114"/>
      <c r="F11" s="114"/>
      <c r="G11" s="114"/>
      <c r="H11" s="114"/>
      <c r="I11" s="114"/>
      <c r="J11" s="115"/>
      <c r="K11" s="36"/>
    </row>
    <row r="12" spans="1:11" ht="24" customHeight="1">
      <c r="A12" s="35"/>
      <c r="B12" s="116"/>
      <c r="C12" s="117"/>
      <c r="D12" s="117"/>
      <c r="E12" s="117"/>
      <c r="F12" s="117"/>
      <c r="G12" s="117"/>
      <c r="H12" s="117"/>
      <c r="I12" s="117"/>
      <c r="J12" s="118"/>
      <c r="K12" s="36"/>
    </row>
    <row r="13" spans="1:11" ht="24" customHeight="1">
      <c r="A13" s="35"/>
      <c r="B13" s="116"/>
      <c r="C13" s="117"/>
      <c r="D13" s="117"/>
      <c r="E13" s="117"/>
      <c r="F13" s="117"/>
      <c r="G13" s="117"/>
      <c r="H13" s="117"/>
      <c r="I13" s="117"/>
      <c r="J13" s="118"/>
      <c r="K13" s="36"/>
    </row>
    <row r="14" spans="1:11" ht="24" customHeight="1">
      <c r="A14" s="35"/>
      <c r="B14" s="119"/>
      <c r="C14" s="120"/>
      <c r="D14" s="120"/>
      <c r="E14" s="120"/>
      <c r="F14" s="120"/>
      <c r="G14" s="120"/>
      <c r="H14" s="120"/>
      <c r="I14" s="120"/>
      <c r="J14" s="121"/>
      <c r="K14" s="36"/>
    </row>
    <row r="15" spans="1:11" ht="17.55" customHeight="1">
      <c r="A15" s="35"/>
      <c r="B15" s="35"/>
      <c r="C15" s="35"/>
      <c r="D15" s="35"/>
      <c r="E15" s="35"/>
      <c r="F15" s="35"/>
      <c r="G15" s="35"/>
      <c r="H15" s="35"/>
      <c r="I15" s="35"/>
      <c r="J15" s="35"/>
      <c r="K15" s="36"/>
    </row>
    <row r="16" spans="1:11" ht="17.55" customHeight="1">
      <c r="A16" s="35"/>
      <c r="B16" s="101" t="s">
        <v>153</v>
      </c>
      <c r="C16" s="102"/>
      <c r="D16" s="102"/>
      <c r="E16" s="103"/>
      <c r="F16" s="35"/>
      <c r="G16" s="101" t="s">
        <v>154</v>
      </c>
      <c r="H16" s="102"/>
      <c r="I16" s="102"/>
      <c r="J16" s="103"/>
      <c r="K16" s="36"/>
    </row>
    <row r="17" spans="1:11" ht="17.55" customHeight="1">
      <c r="A17" s="35"/>
      <c r="B17" s="37" t="s">
        <v>5</v>
      </c>
      <c r="C17" s="38" t="s">
        <v>6</v>
      </c>
      <c r="D17" s="38" t="s">
        <v>7</v>
      </c>
      <c r="E17" s="39" t="s">
        <v>155</v>
      </c>
      <c r="F17" s="35"/>
      <c r="G17" s="104" t="s">
        <v>156</v>
      </c>
      <c r="H17" s="105"/>
      <c r="I17" s="105"/>
      <c r="J17" s="106"/>
      <c r="K17" s="36"/>
    </row>
    <row r="18" spans="1:11" ht="17.55" customHeight="1">
      <c r="A18" s="35"/>
      <c r="B18" s="40" t="s">
        <v>157</v>
      </c>
      <c r="C18" s="46">
        <f>STRUCTURE!C13</f>
        <v>20</v>
      </c>
      <c r="D18" s="41" t="s">
        <v>10</v>
      </c>
      <c r="E18" s="42" t="s">
        <v>158</v>
      </c>
      <c r="F18" s="35"/>
      <c r="G18" s="107"/>
      <c r="H18" s="108"/>
      <c r="I18" s="108"/>
      <c r="J18" s="109"/>
      <c r="K18" s="36"/>
    </row>
    <row r="19" spans="1:11" ht="17.55" customHeight="1">
      <c r="A19" s="35"/>
      <c r="B19" s="40" t="s">
        <v>159</v>
      </c>
      <c r="C19" s="46">
        <f>STRUCTURE!C14</f>
        <v>10</v>
      </c>
      <c r="D19" s="41" t="s">
        <v>12</v>
      </c>
      <c r="E19" s="42" t="s">
        <v>158</v>
      </c>
      <c r="F19" s="35"/>
      <c r="G19" s="107"/>
      <c r="H19" s="108"/>
      <c r="I19" s="108"/>
      <c r="J19" s="109"/>
      <c r="K19" s="36"/>
    </row>
    <row r="20" spans="1:11" ht="17.55" customHeight="1">
      <c r="A20" s="35"/>
      <c r="B20" s="43" t="s">
        <v>160</v>
      </c>
      <c r="C20" s="47">
        <f>IFERROR(C18/(C19-1),"")</f>
        <v>2.2222222222222223</v>
      </c>
      <c r="D20" s="44" t="s">
        <v>10</v>
      </c>
      <c r="E20" s="45" t="s">
        <v>161</v>
      </c>
      <c r="F20" s="35"/>
      <c r="G20" s="110"/>
      <c r="H20" s="111"/>
      <c r="I20" s="111"/>
      <c r="J20" s="112"/>
      <c r="K20" s="36"/>
    </row>
    <row r="21" spans="1:11" ht="17.55" customHeight="1">
      <c r="A21" s="36"/>
      <c r="B21" s="36"/>
      <c r="C21" s="36"/>
      <c r="D21" s="36"/>
      <c r="E21" s="36"/>
      <c r="F21" s="36"/>
      <c r="G21" s="36"/>
      <c r="H21" s="36"/>
      <c r="I21" s="36"/>
      <c r="J21" s="36"/>
      <c r="K21" s="36"/>
    </row>
    <row r="22" spans="1:11" ht="17.55" customHeight="1">
      <c r="A22" s="36"/>
      <c r="B22" s="101" t="s">
        <v>162</v>
      </c>
      <c r="C22" s="102"/>
      <c r="D22" s="102"/>
      <c r="E22" s="103"/>
      <c r="F22" s="36"/>
      <c r="G22" s="101" t="s">
        <v>163</v>
      </c>
      <c r="H22" s="102"/>
      <c r="I22" s="102"/>
      <c r="J22" s="103"/>
      <c r="K22" s="36"/>
    </row>
    <row r="23" spans="1:11" ht="17.55" customHeight="1">
      <c r="A23" s="36"/>
      <c r="B23" s="37" t="s">
        <v>164</v>
      </c>
      <c r="C23" s="38" t="s">
        <v>165</v>
      </c>
      <c r="D23" s="38" t="s">
        <v>166</v>
      </c>
      <c r="E23" s="39" t="s">
        <v>167</v>
      </c>
      <c r="F23" s="36"/>
      <c r="G23" s="36"/>
      <c r="H23" s="36"/>
      <c r="I23" s="36"/>
      <c r="J23" s="36"/>
      <c r="K23" s="36"/>
    </row>
    <row r="24" spans="1:11" ht="17.55" customHeight="1">
      <c r="A24" s="36"/>
      <c r="B24" s="48">
        <v>0</v>
      </c>
      <c r="C24" s="49">
        <v>0</v>
      </c>
      <c r="D24" s="49">
        <v>0</v>
      </c>
      <c r="E24" s="50">
        <v>0</v>
      </c>
      <c r="F24" s="36"/>
      <c r="G24" s="36"/>
      <c r="H24" s="36"/>
      <c r="I24" s="36"/>
      <c r="J24" s="36"/>
      <c r="K24" s="36"/>
    </row>
    <row r="25" spans="1:11" ht="17.55" customHeight="1">
      <c r="A25" s="36"/>
      <c r="B25" s="48">
        <v>2</v>
      </c>
      <c r="C25" s="49">
        <v>0</v>
      </c>
      <c r="D25" s="49">
        <v>0</v>
      </c>
      <c r="E25" s="50">
        <v>0</v>
      </c>
      <c r="F25" s="36"/>
      <c r="G25" s="36"/>
      <c r="H25" s="36"/>
      <c r="I25" s="36"/>
      <c r="J25" s="36"/>
      <c r="K25" s="36"/>
    </row>
    <row r="26" spans="1:11" ht="17.55" customHeight="1">
      <c r="A26" s="36"/>
      <c r="B26" s="48">
        <v>4</v>
      </c>
      <c r="C26" s="49">
        <v>0</v>
      </c>
      <c r="D26" s="49">
        <v>-2</v>
      </c>
      <c r="E26" s="50">
        <v>-1</v>
      </c>
      <c r="F26" s="36"/>
      <c r="G26" s="36"/>
      <c r="H26" s="36"/>
      <c r="I26" s="36"/>
      <c r="J26" s="36"/>
      <c r="K26" s="36"/>
    </row>
    <row r="27" spans="1:11" ht="17.55" customHeight="1">
      <c r="A27" s="36"/>
      <c r="B27" s="48">
        <v>6</v>
      </c>
      <c r="C27" s="49">
        <v>0</v>
      </c>
      <c r="D27" s="49">
        <v>-4</v>
      </c>
      <c r="E27" s="50">
        <v>-8</v>
      </c>
      <c r="F27" s="36"/>
      <c r="G27" s="36"/>
      <c r="H27" s="36"/>
      <c r="I27" s="36"/>
      <c r="J27" s="36"/>
      <c r="K27" s="36"/>
    </row>
    <row r="28" spans="1:11" ht="17.55" customHeight="1">
      <c r="A28" s="36"/>
      <c r="B28" s="48">
        <v>8</v>
      </c>
      <c r="C28" s="49">
        <v>0</v>
      </c>
      <c r="D28" s="49">
        <v>2.3333333333333339</v>
      </c>
      <c r="E28" s="50">
        <v>-4.6666666666666661</v>
      </c>
      <c r="F28" s="36"/>
      <c r="G28" s="36"/>
      <c r="H28" s="36"/>
      <c r="I28" s="36"/>
      <c r="J28" s="36"/>
      <c r="K28" s="36"/>
    </row>
    <row r="29" spans="1:11" ht="17.55" customHeight="1">
      <c r="A29" s="36"/>
      <c r="B29" s="48">
        <v>10</v>
      </c>
      <c r="C29" s="49">
        <v>0</v>
      </c>
      <c r="D29" s="49">
        <v>0</v>
      </c>
      <c r="E29" s="50">
        <v>0</v>
      </c>
      <c r="F29" s="36"/>
      <c r="G29" s="36"/>
      <c r="H29" s="36"/>
      <c r="I29" s="36"/>
      <c r="J29" s="36"/>
      <c r="K29" s="36"/>
    </row>
    <row r="30" spans="1:11" ht="17.55" customHeight="1">
      <c r="A30" s="36"/>
      <c r="B30" s="48">
        <v>12</v>
      </c>
      <c r="C30" s="49">
        <v>0</v>
      </c>
      <c r="D30" s="49">
        <v>0</v>
      </c>
      <c r="E30" s="50">
        <v>7.1054273576010019E-15</v>
      </c>
      <c r="F30" s="36"/>
      <c r="G30" s="36"/>
      <c r="H30" s="36"/>
      <c r="I30" s="36"/>
      <c r="J30" s="36"/>
      <c r="K30" s="36"/>
    </row>
    <row r="31" spans="1:11" ht="17.55" customHeight="1">
      <c r="A31" s="36"/>
      <c r="B31" s="48">
        <v>14</v>
      </c>
      <c r="C31" s="49">
        <v>0</v>
      </c>
      <c r="D31" s="49">
        <v>0</v>
      </c>
      <c r="E31" s="50">
        <v>1.4210854715202004E-14</v>
      </c>
      <c r="F31" s="36"/>
      <c r="G31" s="36"/>
      <c r="H31" s="36"/>
      <c r="I31" s="36"/>
      <c r="J31" s="36"/>
      <c r="K31" s="36"/>
    </row>
    <row r="32" spans="1:11" ht="17.55" customHeight="1">
      <c r="A32" s="36"/>
      <c r="B32" s="48">
        <v>16</v>
      </c>
      <c r="C32" s="49">
        <v>0</v>
      </c>
      <c r="D32" s="49">
        <v>0</v>
      </c>
      <c r="E32" s="50">
        <v>0</v>
      </c>
      <c r="F32" s="36"/>
      <c r="G32" s="36"/>
      <c r="H32" s="36"/>
      <c r="I32" s="36"/>
      <c r="J32" s="36"/>
      <c r="K32" s="36"/>
    </row>
    <row r="33" spans="1:11" ht="17.55" customHeight="1">
      <c r="A33" s="36"/>
      <c r="B33" s="48">
        <v>18</v>
      </c>
      <c r="C33" s="49">
        <v>0</v>
      </c>
      <c r="D33" s="49">
        <v>0</v>
      </c>
      <c r="E33" s="50">
        <v>0</v>
      </c>
      <c r="F33" s="36"/>
      <c r="G33" s="36"/>
      <c r="H33" s="36"/>
      <c r="I33" s="36"/>
      <c r="J33" s="36"/>
      <c r="K33" s="36"/>
    </row>
    <row r="34" spans="1:11" ht="17.55" customHeight="1">
      <c r="A34" s="36"/>
      <c r="B34" s="48">
        <v>20</v>
      </c>
      <c r="C34" s="49">
        <v>0</v>
      </c>
      <c r="D34" s="49">
        <v>0</v>
      </c>
      <c r="E34" s="50">
        <v>0</v>
      </c>
      <c r="F34" s="36"/>
      <c r="G34" s="36"/>
      <c r="H34" s="36"/>
      <c r="I34" s="36"/>
      <c r="J34" s="36"/>
      <c r="K34" s="36"/>
    </row>
    <row r="35" spans="1:11" ht="17.55" customHeight="1">
      <c r="A35" s="36"/>
      <c r="B35" s="48"/>
      <c r="C35" s="49"/>
      <c r="D35" s="49"/>
      <c r="E35" s="50"/>
      <c r="F35" s="36"/>
      <c r="G35" s="36"/>
      <c r="H35" s="36"/>
      <c r="I35" s="36"/>
      <c r="J35" s="36"/>
      <c r="K35" s="36"/>
    </row>
    <row r="36" spans="1:11" ht="17.55" customHeight="1">
      <c r="A36" s="36"/>
      <c r="B36" s="48"/>
      <c r="C36" s="49"/>
      <c r="D36" s="49"/>
      <c r="E36" s="50"/>
      <c r="F36" s="36"/>
      <c r="G36" s="36"/>
      <c r="H36" s="36"/>
      <c r="I36" s="36"/>
      <c r="J36" s="36"/>
      <c r="K36" s="36"/>
    </row>
    <row r="37" spans="1:11" ht="17.55" customHeight="1">
      <c r="A37" s="36"/>
      <c r="B37" s="48"/>
      <c r="C37" s="49"/>
      <c r="D37" s="49"/>
      <c r="E37" s="50"/>
      <c r="F37" s="36"/>
      <c r="G37" s="36"/>
      <c r="H37" s="36"/>
      <c r="I37" s="36"/>
      <c r="J37" s="36"/>
      <c r="K37" s="36"/>
    </row>
    <row r="38" spans="1:11" ht="17.55" customHeight="1">
      <c r="A38" s="36"/>
      <c r="B38" s="48"/>
      <c r="C38" s="49"/>
      <c r="D38" s="49"/>
      <c r="E38" s="50"/>
      <c r="F38" s="36"/>
      <c r="G38" s="36"/>
      <c r="H38" s="36"/>
      <c r="I38" s="36"/>
      <c r="J38" s="36"/>
      <c r="K38" s="36"/>
    </row>
    <row r="39" spans="1:11" ht="17.55" customHeight="1">
      <c r="A39" s="36"/>
      <c r="B39" s="48"/>
      <c r="C39" s="49"/>
      <c r="D39" s="49"/>
      <c r="E39" s="50"/>
      <c r="F39" s="36"/>
      <c r="G39" s="36"/>
      <c r="H39" s="36"/>
      <c r="I39" s="36"/>
      <c r="J39" s="36"/>
      <c r="K39" s="36"/>
    </row>
    <row r="40" spans="1:11" ht="17.55" customHeight="1">
      <c r="A40" s="36"/>
      <c r="B40" s="48"/>
      <c r="C40" s="49"/>
      <c r="D40" s="49"/>
      <c r="E40" s="50"/>
      <c r="F40" s="36"/>
      <c r="G40" s="36"/>
      <c r="H40" s="36"/>
      <c r="I40" s="36"/>
      <c r="J40" s="36"/>
      <c r="K40" s="36"/>
    </row>
    <row r="41" spans="1:11" ht="17.55" customHeight="1">
      <c r="A41" s="36"/>
      <c r="B41" s="48"/>
      <c r="C41" s="49"/>
      <c r="D41" s="49"/>
      <c r="E41" s="50"/>
      <c r="F41" s="36"/>
      <c r="G41" s="36"/>
      <c r="H41" s="36"/>
      <c r="I41" s="36"/>
      <c r="J41" s="36"/>
      <c r="K41" s="36"/>
    </row>
    <row r="42" spans="1:11" ht="17.55" customHeight="1">
      <c r="A42" s="36"/>
      <c r="B42" s="48"/>
      <c r="C42" s="49"/>
      <c r="D42" s="49"/>
      <c r="E42" s="50"/>
      <c r="F42" s="36"/>
      <c r="G42" s="36"/>
      <c r="H42" s="36"/>
      <c r="I42" s="36"/>
      <c r="J42" s="36"/>
      <c r="K42" s="36"/>
    </row>
    <row r="43" spans="1:11" ht="17.55" customHeight="1">
      <c r="A43" s="36"/>
      <c r="B43" s="48"/>
      <c r="C43" s="49"/>
      <c r="D43" s="49"/>
      <c r="E43" s="50"/>
      <c r="F43" s="36"/>
      <c r="G43" s="36"/>
      <c r="H43" s="36"/>
      <c r="I43" s="36"/>
      <c r="J43" s="36"/>
      <c r="K43" s="36"/>
    </row>
    <row r="44" spans="1:11" ht="17.55" customHeight="1">
      <c r="A44" s="36"/>
      <c r="B44" s="48"/>
      <c r="C44" s="49"/>
      <c r="D44" s="49"/>
      <c r="E44" s="50"/>
      <c r="F44" s="36"/>
      <c r="G44" s="36"/>
      <c r="H44" s="36"/>
      <c r="I44" s="36"/>
      <c r="J44" s="36"/>
      <c r="K44" s="36"/>
    </row>
    <row r="45" spans="1:11" ht="17.55" customHeight="1">
      <c r="A45" s="36"/>
      <c r="B45" s="48"/>
      <c r="C45" s="49"/>
      <c r="D45" s="49"/>
      <c r="E45" s="50"/>
      <c r="F45" s="36"/>
      <c r="G45" s="36"/>
      <c r="H45" s="36"/>
      <c r="I45" s="36"/>
      <c r="J45" s="36"/>
      <c r="K45" s="36"/>
    </row>
    <row r="46" spans="1:11" ht="17.55" customHeight="1">
      <c r="A46" s="36"/>
      <c r="B46" s="48"/>
      <c r="C46" s="49"/>
      <c r="D46" s="49"/>
      <c r="E46" s="50"/>
      <c r="F46" s="36"/>
      <c r="G46" s="36"/>
      <c r="H46" s="36"/>
      <c r="I46" s="36"/>
      <c r="J46" s="36"/>
      <c r="K46" s="36"/>
    </row>
    <row r="47" spans="1:11" ht="17.55" customHeight="1">
      <c r="A47" s="36"/>
      <c r="B47" s="48"/>
      <c r="C47" s="49"/>
      <c r="D47" s="49"/>
      <c r="E47" s="50"/>
      <c r="F47" s="36"/>
      <c r="G47" s="36"/>
      <c r="H47" s="36"/>
      <c r="I47" s="36"/>
      <c r="J47" s="36"/>
      <c r="K47" s="36"/>
    </row>
    <row r="48" spans="1:11" ht="17.55" customHeight="1">
      <c r="A48" s="36"/>
      <c r="B48" s="48"/>
      <c r="C48" s="49"/>
      <c r="D48" s="49"/>
      <c r="E48" s="50"/>
      <c r="F48" s="36"/>
      <c r="G48" s="36"/>
      <c r="H48" s="36"/>
      <c r="I48" s="36"/>
      <c r="J48" s="36"/>
      <c r="K48" s="36"/>
    </row>
    <row r="49" spans="1:11" ht="17.55" customHeight="1">
      <c r="A49" s="36"/>
      <c r="B49" s="48"/>
      <c r="C49" s="49"/>
      <c r="D49" s="49"/>
      <c r="E49" s="50"/>
      <c r="F49" s="36"/>
      <c r="G49" s="36"/>
      <c r="H49" s="36"/>
      <c r="I49" s="36"/>
      <c r="J49" s="36"/>
      <c r="K49" s="36"/>
    </row>
    <row r="50" spans="1:11" ht="17.55" customHeight="1">
      <c r="A50" s="36"/>
      <c r="B50" s="48"/>
      <c r="C50" s="49"/>
      <c r="D50" s="49"/>
      <c r="E50" s="50"/>
      <c r="F50" s="36"/>
      <c r="G50" s="36"/>
      <c r="H50" s="36"/>
      <c r="I50" s="36"/>
      <c r="J50" s="36"/>
      <c r="K50" s="36"/>
    </row>
    <row r="51" spans="1:11" ht="17.55" customHeight="1">
      <c r="A51" s="36"/>
      <c r="B51" s="48"/>
      <c r="C51" s="49"/>
      <c r="D51" s="49"/>
      <c r="E51" s="50"/>
      <c r="F51" s="36"/>
      <c r="G51" s="36"/>
      <c r="H51" s="36"/>
      <c r="I51" s="36"/>
      <c r="J51" s="36"/>
      <c r="K51" s="36"/>
    </row>
    <row r="52" spans="1:11" ht="17.55" customHeight="1">
      <c r="A52" s="36"/>
      <c r="B52" s="48"/>
      <c r="C52" s="49"/>
      <c r="D52" s="49"/>
      <c r="E52" s="50"/>
      <c r="F52" s="36"/>
      <c r="G52" s="36"/>
      <c r="H52" s="36"/>
      <c r="I52" s="36"/>
      <c r="J52" s="36"/>
      <c r="K52" s="36"/>
    </row>
    <row r="53" spans="1:11" ht="17.55" customHeight="1">
      <c r="A53" s="36"/>
      <c r="B53" s="48"/>
      <c r="C53" s="49"/>
      <c r="D53" s="49"/>
      <c r="E53" s="50"/>
      <c r="F53" s="36"/>
      <c r="G53" s="36"/>
      <c r="H53" s="36"/>
      <c r="I53" s="36"/>
      <c r="J53" s="36"/>
      <c r="K53" s="36"/>
    </row>
    <row r="54" spans="1:11" ht="17.55" customHeight="1">
      <c r="A54" s="36"/>
      <c r="B54" s="48"/>
      <c r="C54" s="49"/>
      <c r="D54" s="49"/>
      <c r="E54" s="50"/>
      <c r="F54" s="36"/>
      <c r="G54" s="36"/>
      <c r="H54" s="36"/>
      <c r="I54" s="36"/>
      <c r="J54" s="36"/>
      <c r="K54" s="36"/>
    </row>
    <row r="55" spans="1:11" ht="17.55" customHeight="1">
      <c r="A55" s="36"/>
      <c r="B55" s="48"/>
      <c r="C55" s="49"/>
      <c r="D55" s="49"/>
      <c r="E55" s="50"/>
      <c r="F55" s="36"/>
      <c r="G55" s="36"/>
      <c r="H55" s="36"/>
      <c r="I55" s="36"/>
      <c r="J55" s="36"/>
      <c r="K55" s="36"/>
    </row>
    <row r="56" spans="1:11" ht="17.55" customHeight="1">
      <c r="A56" s="36"/>
      <c r="B56" s="48"/>
      <c r="C56" s="49"/>
      <c r="D56" s="49"/>
      <c r="E56" s="50"/>
      <c r="F56" s="36"/>
      <c r="G56" s="36"/>
      <c r="H56" s="36"/>
      <c r="I56" s="36"/>
      <c r="J56" s="36"/>
      <c r="K56" s="36"/>
    </row>
    <row r="57" spans="1:11" ht="17.55" customHeight="1">
      <c r="A57" s="36"/>
      <c r="B57" s="48"/>
      <c r="C57" s="49"/>
      <c r="D57" s="49"/>
      <c r="E57" s="50"/>
      <c r="F57" s="36"/>
      <c r="G57" s="36"/>
      <c r="H57" s="36"/>
      <c r="I57" s="36"/>
      <c r="J57" s="36"/>
      <c r="K57" s="36"/>
    </row>
    <row r="58" spans="1:11" ht="17.55" customHeight="1">
      <c r="A58" s="36"/>
      <c r="B58" s="48"/>
      <c r="C58" s="49"/>
      <c r="D58" s="49"/>
      <c r="E58" s="50"/>
      <c r="F58" s="36"/>
      <c r="G58" s="36"/>
      <c r="H58" s="36"/>
      <c r="I58" s="36"/>
      <c r="J58" s="36"/>
      <c r="K58" s="36"/>
    </row>
    <row r="59" spans="1:11" ht="17.55" customHeight="1">
      <c r="A59" s="36"/>
      <c r="B59" s="48"/>
      <c r="C59" s="49"/>
      <c r="D59" s="49"/>
      <c r="E59" s="50"/>
      <c r="F59" s="36"/>
      <c r="G59" s="36"/>
      <c r="H59" s="36"/>
      <c r="I59" s="36"/>
      <c r="J59" s="36"/>
      <c r="K59" s="36"/>
    </row>
    <row r="60" spans="1:11" ht="17.55" customHeight="1">
      <c r="A60" s="36"/>
      <c r="B60" s="48"/>
      <c r="C60" s="49"/>
      <c r="D60" s="49"/>
      <c r="E60" s="50"/>
      <c r="F60" s="36"/>
      <c r="G60" s="36"/>
      <c r="H60" s="36"/>
      <c r="I60" s="36"/>
      <c r="J60" s="36"/>
      <c r="K60" s="36"/>
    </row>
    <row r="61" spans="1:11" ht="17.55" customHeight="1">
      <c r="A61" s="36"/>
      <c r="B61" s="48"/>
      <c r="C61" s="49"/>
      <c r="D61" s="49"/>
      <c r="E61" s="50"/>
      <c r="F61" s="36"/>
      <c r="G61" s="36"/>
      <c r="H61" s="36"/>
      <c r="I61" s="36"/>
      <c r="J61" s="36"/>
      <c r="K61" s="36"/>
    </row>
    <row r="62" spans="1:11" ht="17.55" customHeight="1">
      <c r="A62" s="36"/>
      <c r="B62" s="48"/>
      <c r="C62" s="49"/>
      <c r="D62" s="49"/>
      <c r="E62" s="50"/>
      <c r="F62" s="36"/>
      <c r="G62" s="36"/>
      <c r="H62" s="36"/>
      <c r="I62" s="36"/>
      <c r="J62" s="36"/>
      <c r="K62" s="36"/>
    </row>
    <row r="63" spans="1:11" ht="17.55" customHeight="1">
      <c r="A63" s="36"/>
      <c r="B63" s="48"/>
      <c r="C63" s="49"/>
      <c r="D63" s="49"/>
      <c r="E63" s="50"/>
      <c r="F63" s="36"/>
      <c r="G63" s="36"/>
      <c r="H63" s="36"/>
      <c r="I63" s="36"/>
      <c r="J63" s="36"/>
      <c r="K63" s="36"/>
    </row>
    <row r="64" spans="1:11" ht="17.55" customHeight="1">
      <c r="A64" s="36"/>
      <c r="B64" s="48"/>
      <c r="C64" s="49"/>
      <c r="D64" s="49"/>
      <c r="E64" s="50"/>
      <c r="F64" s="36"/>
      <c r="G64" s="36"/>
      <c r="H64" s="36"/>
      <c r="I64" s="36"/>
      <c r="J64" s="36"/>
      <c r="K64" s="36"/>
    </row>
    <row r="65" spans="1:11" ht="17.55" customHeight="1">
      <c r="A65" s="36"/>
      <c r="B65" s="48"/>
      <c r="C65" s="49"/>
      <c r="D65" s="49"/>
      <c r="E65" s="50"/>
      <c r="F65" s="36"/>
      <c r="G65" s="36"/>
      <c r="H65" s="36"/>
      <c r="I65" s="36"/>
      <c r="J65" s="36"/>
      <c r="K65" s="36"/>
    </row>
    <row r="66" spans="1:11" ht="17.55" customHeight="1">
      <c r="A66" s="36"/>
      <c r="B66" s="48"/>
      <c r="C66" s="49"/>
      <c r="D66" s="49"/>
      <c r="E66" s="50"/>
      <c r="F66" s="36"/>
      <c r="G66" s="36"/>
      <c r="H66" s="36"/>
      <c r="I66" s="36"/>
      <c r="J66" s="36"/>
      <c r="K66" s="36"/>
    </row>
    <row r="67" spans="1:11" ht="17.55" customHeight="1">
      <c r="A67" s="36"/>
      <c r="B67" s="48"/>
      <c r="C67" s="49"/>
      <c r="D67" s="49"/>
      <c r="E67" s="50"/>
      <c r="F67" s="36"/>
      <c r="G67" s="36"/>
      <c r="H67" s="36"/>
      <c r="I67" s="36"/>
      <c r="J67" s="36"/>
      <c r="K67" s="36"/>
    </row>
    <row r="68" spans="1:11" ht="17.55" customHeight="1">
      <c r="A68" s="36"/>
      <c r="B68" s="48"/>
      <c r="C68" s="49"/>
      <c r="D68" s="49"/>
      <c r="E68" s="50"/>
      <c r="F68" s="36"/>
      <c r="G68" s="36"/>
      <c r="H68" s="36"/>
      <c r="I68" s="36"/>
      <c r="J68" s="36"/>
      <c r="K68" s="36"/>
    </row>
    <row r="69" spans="1:11" ht="17.55" customHeight="1">
      <c r="A69" s="36"/>
      <c r="B69" s="48"/>
      <c r="C69" s="49"/>
      <c r="D69" s="49"/>
      <c r="E69" s="50"/>
      <c r="F69" s="36"/>
      <c r="G69" s="36"/>
      <c r="H69" s="36"/>
      <c r="I69" s="36"/>
      <c r="J69" s="36"/>
      <c r="K69" s="36"/>
    </row>
    <row r="70" spans="1:11" ht="17.55" customHeight="1">
      <c r="A70" s="36"/>
      <c r="B70" s="48"/>
      <c r="C70" s="49"/>
      <c r="D70" s="49"/>
      <c r="E70" s="50"/>
      <c r="F70" s="36"/>
      <c r="G70" s="36"/>
      <c r="H70" s="36"/>
      <c r="I70" s="36"/>
      <c r="J70" s="36"/>
      <c r="K70" s="36"/>
    </row>
    <row r="71" spans="1:11" ht="17.55" customHeight="1">
      <c r="A71" s="36"/>
      <c r="B71" s="48"/>
      <c r="C71" s="49"/>
      <c r="D71" s="49"/>
      <c r="E71" s="50"/>
      <c r="F71" s="36"/>
      <c r="G71" s="36"/>
      <c r="H71" s="36"/>
      <c r="I71" s="36"/>
      <c r="J71" s="36"/>
      <c r="K71" s="36"/>
    </row>
    <row r="72" spans="1:11" ht="17.55" customHeight="1">
      <c r="A72" s="36"/>
      <c r="B72" s="48"/>
      <c r="C72" s="49"/>
      <c r="D72" s="49"/>
      <c r="E72" s="50"/>
      <c r="F72" s="36"/>
      <c r="G72" s="36"/>
      <c r="H72" s="36"/>
      <c r="I72" s="36"/>
      <c r="J72" s="36"/>
      <c r="K72" s="36"/>
    </row>
    <row r="73" spans="1:11" ht="17.55" customHeight="1">
      <c r="A73" s="36"/>
      <c r="B73" s="48"/>
      <c r="C73" s="49"/>
      <c r="D73" s="49"/>
      <c r="E73" s="50"/>
      <c r="F73" s="36"/>
      <c r="G73" s="36"/>
      <c r="H73" s="36"/>
      <c r="I73" s="36"/>
      <c r="J73" s="36"/>
      <c r="K73" s="36"/>
    </row>
    <row r="74" spans="1:11" ht="17.55" customHeight="1">
      <c r="A74" s="36"/>
      <c r="B74" s="48"/>
      <c r="C74" s="49"/>
      <c r="D74" s="49"/>
      <c r="E74" s="50"/>
      <c r="F74" s="36"/>
      <c r="G74" s="36"/>
      <c r="H74" s="36"/>
      <c r="I74" s="36"/>
      <c r="J74" s="36"/>
      <c r="K74" s="36"/>
    </row>
    <row r="75" spans="1:11" ht="17.55" customHeight="1">
      <c r="A75" s="36"/>
      <c r="B75" s="48"/>
      <c r="C75" s="49"/>
      <c r="D75" s="49"/>
      <c r="E75" s="50"/>
      <c r="F75" s="36"/>
      <c r="G75" s="36"/>
      <c r="H75" s="36"/>
      <c r="I75" s="36"/>
      <c r="J75" s="36"/>
      <c r="K75" s="36"/>
    </row>
    <row r="76" spans="1:11" ht="17.55" customHeight="1">
      <c r="A76" s="36"/>
      <c r="B76" s="48"/>
      <c r="C76" s="49"/>
      <c r="D76" s="49"/>
      <c r="E76" s="50"/>
      <c r="F76" s="36"/>
      <c r="G76" s="36"/>
      <c r="H76" s="36"/>
      <c r="I76" s="36"/>
      <c r="J76" s="36"/>
      <c r="K76" s="36"/>
    </row>
    <row r="77" spans="1:11" ht="17.55" customHeight="1">
      <c r="A77" s="36"/>
      <c r="B77" s="48"/>
      <c r="C77" s="49"/>
      <c r="D77" s="49"/>
      <c r="E77" s="50"/>
      <c r="F77" s="36"/>
      <c r="G77" s="36"/>
      <c r="H77" s="36"/>
      <c r="I77" s="36"/>
      <c r="J77" s="36"/>
      <c r="K77" s="36"/>
    </row>
    <row r="78" spans="1:11" ht="17.55" customHeight="1">
      <c r="A78" s="36"/>
      <c r="B78" s="48"/>
      <c r="C78" s="49"/>
      <c r="D78" s="49"/>
      <c r="E78" s="50"/>
      <c r="F78" s="36"/>
      <c r="G78" s="36"/>
      <c r="H78" s="36"/>
      <c r="I78" s="36"/>
      <c r="J78" s="36"/>
      <c r="K78" s="36"/>
    </row>
    <row r="79" spans="1:11" ht="17.55" customHeight="1">
      <c r="A79" s="36"/>
      <c r="B79" s="48"/>
      <c r="C79" s="49"/>
      <c r="D79" s="49"/>
      <c r="E79" s="50"/>
      <c r="F79" s="36"/>
      <c r="G79" s="36"/>
      <c r="H79" s="36"/>
      <c r="I79" s="36"/>
      <c r="J79" s="36"/>
      <c r="K79" s="36"/>
    </row>
    <row r="80" spans="1:11" ht="17.55" customHeight="1">
      <c r="A80" s="36"/>
      <c r="B80" s="48"/>
      <c r="C80" s="49"/>
      <c r="D80" s="49"/>
      <c r="E80" s="50"/>
      <c r="F80" s="36"/>
      <c r="G80" s="36"/>
      <c r="H80" s="36"/>
      <c r="I80" s="36"/>
      <c r="J80" s="36"/>
      <c r="K80" s="36"/>
    </row>
    <row r="81" spans="1:11" ht="17.55" customHeight="1">
      <c r="A81" s="36"/>
      <c r="B81" s="48"/>
      <c r="C81" s="49"/>
      <c r="D81" s="49"/>
      <c r="E81" s="50"/>
      <c r="F81" s="36"/>
      <c r="G81" s="36"/>
      <c r="H81" s="36"/>
      <c r="I81" s="36"/>
      <c r="J81" s="36"/>
      <c r="K81" s="36"/>
    </row>
    <row r="82" spans="1:11" ht="17.55" customHeight="1">
      <c r="A82" s="36"/>
      <c r="B82" s="48"/>
      <c r="C82" s="49"/>
      <c r="D82" s="49"/>
      <c r="E82" s="50"/>
      <c r="F82" s="36"/>
      <c r="G82" s="36"/>
      <c r="H82" s="36"/>
      <c r="I82" s="36"/>
      <c r="J82" s="36"/>
      <c r="K82" s="36"/>
    </row>
    <row r="83" spans="1:11" ht="17.55" customHeight="1">
      <c r="A83" s="36"/>
      <c r="B83" s="48"/>
      <c r="C83" s="49"/>
      <c r="D83" s="49"/>
      <c r="E83" s="50"/>
      <c r="F83" s="36"/>
      <c r="G83" s="36"/>
      <c r="H83" s="36"/>
      <c r="I83" s="36"/>
      <c r="J83" s="36"/>
      <c r="K83" s="36"/>
    </row>
    <row r="84" spans="1:11" ht="17.55" customHeight="1">
      <c r="A84" s="36"/>
      <c r="B84" s="48"/>
      <c r="C84" s="49"/>
      <c r="D84" s="49"/>
      <c r="E84" s="50"/>
      <c r="F84" s="36"/>
      <c r="G84" s="36"/>
      <c r="H84" s="36"/>
      <c r="I84" s="36"/>
      <c r="J84" s="36"/>
      <c r="K84" s="36"/>
    </row>
    <row r="85" spans="1:11" ht="17.55" customHeight="1">
      <c r="A85" s="36"/>
      <c r="B85" s="48"/>
      <c r="C85" s="49"/>
      <c r="D85" s="49"/>
      <c r="E85" s="50"/>
      <c r="F85" s="36"/>
      <c r="G85" s="36"/>
      <c r="H85" s="36"/>
      <c r="I85" s="36"/>
      <c r="J85" s="36"/>
      <c r="K85" s="36"/>
    </row>
    <row r="86" spans="1:11" ht="17.55" customHeight="1">
      <c r="A86" s="36"/>
      <c r="B86" s="48"/>
      <c r="C86" s="49"/>
      <c r="D86" s="49"/>
      <c r="E86" s="50"/>
      <c r="F86" s="36"/>
      <c r="G86" s="36"/>
      <c r="H86" s="36"/>
      <c r="I86" s="36"/>
      <c r="J86" s="36"/>
      <c r="K86" s="36"/>
    </row>
    <row r="87" spans="1:11" ht="17.55" customHeight="1">
      <c r="A87" s="36"/>
      <c r="B87" s="48"/>
      <c r="C87" s="49"/>
      <c r="D87" s="49"/>
      <c r="E87" s="50"/>
      <c r="F87" s="36"/>
      <c r="G87" s="36"/>
      <c r="H87" s="36"/>
      <c r="I87" s="36"/>
      <c r="J87" s="36"/>
      <c r="K87" s="36"/>
    </row>
    <row r="88" spans="1:11" ht="17.55" customHeight="1">
      <c r="A88" s="36"/>
      <c r="B88" s="48"/>
      <c r="C88" s="49"/>
      <c r="D88" s="49"/>
      <c r="E88" s="50"/>
      <c r="F88" s="36"/>
      <c r="G88" s="36"/>
      <c r="H88" s="36"/>
      <c r="I88" s="36"/>
      <c r="J88" s="36"/>
      <c r="K88" s="36"/>
    </row>
    <row r="89" spans="1:11" ht="17.55" customHeight="1">
      <c r="A89" s="36"/>
      <c r="B89" s="48"/>
      <c r="C89" s="49"/>
      <c r="D89" s="49"/>
      <c r="E89" s="50"/>
      <c r="F89" s="36"/>
      <c r="G89" s="36"/>
      <c r="H89" s="36"/>
      <c r="I89" s="36"/>
      <c r="J89" s="36"/>
      <c r="K89" s="36"/>
    </row>
    <row r="90" spans="1:11" ht="17.55" customHeight="1">
      <c r="A90" s="36"/>
      <c r="B90" s="48"/>
      <c r="C90" s="49"/>
      <c r="D90" s="49"/>
      <c r="E90" s="50"/>
      <c r="F90" s="36"/>
      <c r="G90" s="36"/>
      <c r="H90" s="36"/>
      <c r="I90" s="36"/>
      <c r="J90" s="36"/>
      <c r="K90" s="36"/>
    </row>
    <row r="91" spans="1:11" ht="17.55" customHeight="1">
      <c r="A91" s="36"/>
      <c r="B91" s="48"/>
      <c r="C91" s="49"/>
      <c r="D91" s="49"/>
      <c r="E91" s="50"/>
      <c r="F91" s="36"/>
      <c r="G91" s="36"/>
      <c r="H91" s="36"/>
      <c r="I91" s="36"/>
      <c r="J91" s="36"/>
      <c r="K91" s="36"/>
    </row>
    <row r="92" spans="1:11" ht="17.55" customHeight="1">
      <c r="A92" s="36"/>
      <c r="B92" s="48"/>
      <c r="C92" s="49"/>
      <c r="D92" s="49"/>
      <c r="E92" s="50"/>
      <c r="F92" s="36"/>
      <c r="G92" s="36"/>
      <c r="H92" s="36"/>
      <c r="I92" s="36"/>
      <c r="J92" s="36"/>
      <c r="K92" s="36"/>
    </row>
    <row r="93" spans="1:11" ht="17.55" customHeight="1">
      <c r="A93" s="36"/>
      <c r="B93" s="48"/>
      <c r="C93" s="49"/>
      <c r="D93" s="49"/>
      <c r="E93" s="50"/>
      <c r="F93" s="36"/>
      <c r="G93" s="36"/>
      <c r="H93" s="36"/>
      <c r="I93" s="36"/>
      <c r="J93" s="36"/>
      <c r="K93" s="36"/>
    </row>
    <row r="94" spans="1:11" ht="17.55" customHeight="1">
      <c r="A94" s="36"/>
      <c r="B94" s="48"/>
      <c r="C94" s="49"/>
      <c r="D94" s="49"/>
      <c r="E94" s="50"/>
      <c r="F94" s="36"/>
      <c r="G94" s="36"/>
      <c r="H94" s="36"/>
      <c r="I94" s="36"/>
      <c r="J94" s="36"/>
      <c r="K94" s="36"/>
    </row>
    <row r="95" spans="1:11" ht="17.55" customHeight="1">
      <c r="A95" s="36"/>
      <c r="B95" s="48"/>
      <c r="C95" s="49"/>
      <c r="D95" s="49"/>
      <c r="E95" s="50"/>
      <c r="F95" s="36"/>
      <c r="G95" s="36"/>
      <c r="H95" s="36"/>
      <c r="I95" s="36"/>
      <c r="J95" s="36"/>
      <c r="K95" s="36"/>
    </row>
    <row r="96" spans="1:11" ht="17.55" customHeight="1">
      <c r="A96" s="36"/>
      <c r="B96" s="48"/>
      <c r="C96" s="49"/>
      <c r="D96" s="49"/>
      <c r="E96" s="50"/>
      <c r="F96" s="36"/>
      <c r="G96" s="36"/>
      <c r="H96" s="36"/>
      <c r="I96" s="36"/>
      <c r="J96" s="36"/>
      <c r="K96" s="36"/>
    </row>
    <row r="97" spans="1:11" ht="17.55" customHeight="1">
      <c r="A97" s="36"/>
      <c r="B97" s="48"/>
      <c r="C97" s="49"/>
      <c r="D97" s="49"/>
      <c r="E97" s="50"/>
      <c r="F97" s="36"/>
      <c r="G97" s="36"/>
      <c r="H97" s="36"/>
      <c r="I97" s="36"/>
      <c r="J97" s="36"/>
      <c r="K97" s="36"/>
    </row>
    <row r="98" spans="1:11" ht="17.55" customHeight="1">
      <c r="A98" s="36"/>
      <c r="B98" s="48"/>
      <c r="C98" s="49"/>
      <c r="D98" s="49"/>
      <c r="E98" s="50"/>
      <c r="F98" s="36"/>
      <c r="G98" s="36"/>
      <c r="H98" s="36"/>
      <c r="I98" s="36"/>
      <c r="J98" s="36"/>
      <c r="K98" s="36"/>
    </row>
    <row r="99" spans="1:11" ht="17.55" customHeight="1">
      <c r="A99" s="36"/>
      <c r="B99" s="48"/>
      <c r="C99" s="49"/>
      <c r="D99" s="49"/>
      <c r="E99" s="50"/>
      <c r="F99" s="36"/>
      <c r="G99" s="36"/>
      <c r="H99" s="36"/>
      <c r="I99" s="36"/>
      <c r="J99" s="36"/>
      <c r="K99" s="36"/>
    </row>
    <row r="100" spans="1:11" ht="17.55" customHeight="1">
      <c r="A100" s="36"/>
      <c r="B100" s="48"/>
      <c r="C100" s="49"/>
      <c r="D100" s="49"/>
      <c r="E100" s="50"/>
      <c r="F100" s="36"/>
      <c r="G100" s="36"/>
      <c r="H100" s="36"/>
      <c r="I100" s="36"/>
      <c r="J100" s="36"/>
      <c r="K100" s="36"/>
    </row>
    <row r="101" spans="1:11" ht="17.55" customHeight="1">
      <c r="A101" s="36"/>
      <c r="B101" s="48"/>
      <c r="C101" s="49"/>
      <c r="D101" s="49"/>
      <c r="E101" s="50"/>
      <c r="F101" s="36"/>
      <c r="G101" s="36"/>
      <c r="H101" s="36"/>
      <c r="I101" s="36"/>
      <c r="J101" s="36"/>
      <c r="K101" s="36"/>
    </row>
    <row r="102" spans="1:11" ht="17.55" customHeight="1">
      <c r="A102" s="36"/>
      <c r="B102" s="48"/>
      <c r="C102" s="49"/>
      <c r="D102" s="49"/>
      <c r="E102" s="50"/>
      <c r="F102" s="36"/>
      <c r="G102" s="36"/>
      <c r="H102" s="36"/>
      <c r="I102" s="36"/>
      <c r="J102" s="36"/>
      <c r="K102" s="36"/>
    </row>
    <row r="103" spans="1:11" ht="17.55" customHeight="1">
      <c r="A103" s="36"/>
      <c r="B103" s="48"/>
      <c r="C103" s="49"/>
      <c r="D103" s="49"/>
      <c r="E103" s="50"/>
      <c r="F103" s="36"/>
      <c r="G103" s="36"/>
      <c r="H103" s="36"/>
      <c r="I103" s="36"/>
      <c r="J103" s="36"/>
      <c r="K103" s="36"/>
    </row>
    <row r="104" spans="1:11" ht="17.55" customHeight="1">
      <c r="A104" s="36"/>
      <c r="B104" s="48"/>
      <c r="C104" s="49"/>
      <c r="D104" s="49"/>
      <c r="E104" s="50"/>
      <c r="F104" s="36"/>
      <c r="G104" s="36"/>
      <c r="H104" s="36"/>
      <c r="I104" s="36"/>
      <c r="J104" s="36"/>
      <c r="K104" s="36"/>
    </row>
    <row r="105" spans="1:11" ht="17.55" customHeight="1">
      <c r="A105" s="36"/>
      <c r="B105" s="48"/>
      <c r="C105" s="49"/>
      <c r="D105" s="49"/>
      <c r="E105" s="50"/>
      <c r="F105" s="36"/>
      <c r="G105" s="36"/>
      <c r="H105" s="36"/>
      <c r="I105" s="36"/>
      <c r="J105" s="36"/>
      <c r="K105" s="36"/>
    </row>
    <row r="106" spans="1:11" ht="17.55" customHeight="1">
      <c r="A106" s="36"/>
      <c r="B106" s="48"/>
      <c r="C106" s="49"/>
      <c r="D106" s="49"/>
      <c r="E106" s="50"/>
      <c r="F106" s="36"/>
      <c r="G106" s="36"/>
      <c r="H106" s="36"/>
      <c r="I106" s="36"/>
      <c r="J106" s="36"/>
      <c r="K106" s="36"/>
    </row>
    <row r="107" spans="1:11" ht="17.55" customHeight="1">
      <c r="A107" s="36"/>
      <c r="B107" s="48"/>
      <c r="C107" s="49"/>
      <c r="D107" s="49"/>
      <c r="E107" s="50"/>
      <c r="F107" s="36"/>
      <c r="G107" s="36"/>
      <c r="H107" s="36"/>
      <c r="I107" s="36"/>
      <c r="J107" s="36"/>
      <c r="K107" s="36"/>
    </row>
    <row r="108" spans="1:11" ht="17.55" customHeight="1">
      <c r="A108" s="36"/>
      <c r="B108" s="48"/>
      <c r="C108" s="49"/>
      <c r="D108" s="49"/>
      <c r="E108" s="50"/>
      <c r="F108" s="36"/>
      <c r="G108" s="36"/>
      <c r="H108" s="36"/>
      <c r="I108" s="36"/>
      <c r="J108" s="36"/>
      <c r="K108" s="36"/>
    </row>
    <row r="109" spans="1:11" ht="17.55" customHeight="1">
      <c r="A109" s="36"/>
      <c r="B109" s="48"/>
      <c r="C109" s="49"/>
      <c r="D109" s="49"/>
      <c r="E109" s="50"/>
      <c r="F109" s="36"/>
      <c r="G109" s="36"/>
      <c r="H109" s="36"/>
      <c r="I109" s="36"/>
      <c r="J109" s="36"/>
      <c r="K109" s="36"/>
    </row>
    <row r="110" spans="1:11" ht="17.55" customHeight="1">
      <c r="A110" s="36"/>
      <c r="B110" s="48"/>
      <c r="C110" s="49"/>
      <c r="D110" s="49"/>
      <c r="E110" s="50"/>
      <c r="F110" s="36"/>
      <c r="G110" s="36"/>
      <c r="H110" s="36"/>
      <c r="I110" s="36"/>
      <c r="J110" s="36"/>
      <c r="K110" s="36"/>
    </row>
    <row r="111" spans="1:11" ht="17.55" customHeight="1">
      <c r="A111" s="36"/>
      <c r="B111" s="48"/>
      <c r="C111" s="49"/>
      <c r="D111" s="49"/>
      <c r="E111" s="50"/>
      <c r="F111" s="36"/>
      <c r="G111" s="36"/>
      <c r="H111" s="36"/>
      <c r="I111" s="36"/>
      <c r="J111" s="36"/>
      <c r="K111" s="36"/>
    </row>
    <row r="112" spans="1:11" ht="17.55" customHeight="1">
      <c r="A112" s="36"/>
      <c r="B112" s="48"/>
      <c r="C112" s="49"/>
      <c r="D112" s="49"/>
      <c r="E112" s="50"/>
      <c r="F112" s="36"/>
      <c r="G112" s="36"/>
      <c r="H112" s="36"/>
      <c r="I112" s="36"/>
      <c r="J112" s="36"/>
      <c r="K112" s="36"/>
    </row>
    <row r="113" spans="1:11" ht="17.55" customHeight="1">
      <c r="A113" s="36"/>
      <c r="B113" s="48"/>
      <c r="C113" s="49"/>
      <c r="D113" s="49"/>
      <c r="E113" s="50"/>
      <c r="F113" s="36"/>
      <c r="G113" s="36"/>
      <c r="H113" s="36"/>
      <c r="I113" s="36"/>
      <c r="J113" s="36"/>
      <c r="K113" s="36"/>
    </row>
    <row r="114" spans="1:11" ht="17.55" customHeight="1">
      <c r="A114" s="36"/>
      <c r="B114" s="48"/>
      <c r="C114" s="49"/>
      <c r="D114" s="49"/>
      <c r="E114" s="50"/>
      <c r="F114" s="36"/>
      <c r="G114" s="36"/>
      <c r="H114" s="36"/>
      <c r="I114" s="36"/>
      <c r="J114" s="36"/>
      <c r="K114" s="36"/>
    </row>
    <row r="115" spans="1:11" ht="17.55" customHeight="1">
      <c r="A115" s="36"/>
      <c r="B115" s="48"/>
      <c r="C115" s="49"/>
      <c r="D115" s="49"/>
      <c r="E115" s="50"/>
      <c r="F115" s="36"/>
      <c r="G115" s="36"/>
      <c r="H115" s="36"/>
      <c r="I115" s="36"/>
      <c r="J115" s="36"/>
      <c r="K115" s="36"/>
    </row>
    <row r="116" spans="1:11" ht="17.55" customHeight="1">
      <c r="A116" s="36"/>
      <c r="B116" s="48"/>
      <c r="C116" s="49"/>
      <c r="D116" s="49"/>
      <c r="E116" s="50"/>
      <c r="F116" s="36"/>
      <c r="G116" s="36"/>
      <c r="H116" s="36"/>
      <c r="I116" s="36"/>
      <c r="J116" s="36"/>
      <c r="K116" s="36"/>
    </row>
    <row r="117" spans="1:11" ht="17.55" customHeight="1">
      <c r="A117" s="36"/>
      <c r="B117" s="48"/>
      <c r="C117" s="49"/>
      <c r="D117" s="49"/>
      <c r="E117" s="50"/>
      <c r="F117" s="36"/>
      <c r="G117" s="36"/>
      <c r="H117" s="36"/>
      <c r="I117" s="36"/>
      <c r="J117" s="36"/>
      <c r="K117" s="36"/>
    </row>
    <row r="118" spans="1:11" ht="17.55" customHeight="1">
      <c r="A118" s="36"/>
      <c r="B118" s="48"/>
      <c r="C118" s="49"/>
      <c r="D118" s="49"/>
      <c r="E118" s="50"/>
      <c r="F118" s="36"/>
      <c r="G118" s="36"/>
      <c r="H118" s="36"/>
      <c r="I118" s="36"/>
      <c r="J118" s="36"/>
      <c r="K118" s="36"/>
    </row>
    <row r="119" spans="1:11" ht="17.55" customHeight="1">
      <c r="A119" s="36"/>
      <c r="B119" s="48"/>
      <c r="C119" s="49"/>
      <c r="D119" s="49"/>
      <c r="E119" s="50"/>
      <c r="F119" s="36"/>
      <c r="G119" s="36"/>
      <c r="H119" s="36"/>
      <c r="I119" s="36"/>
      <c r="J119" s="36"/>
      <c r="K119" s="36"/>
    </row>
    <row r="120" spans="1:11" ht="17.55" customHeight="1">
      <c r="A120" s="36"/>
      <c r="B120" s="48"/>
      <c r="C120" s="49"/>
      <c r="D120" s="49"/>
      <c r="E120" s="50"/>
      <c r="F120" s="36"/>
      <c r="G120" s="36"/>
      <c r="H120" s="36"/>
      <c r="I120" s="36"/>
      <c r="J120" s="36"/>
      <c r="K120" s="36"/>
    </row>
    <row r="121" spans="1:11" ht="17.55" customHeight="1">
      <c r="A121" s="36"/>
      <c r="B121" s="48"/>
      <c r="C121" s="49"/>
      <c r="D121" s="49"/>
      <c r="E121" s="50"/>
      <c r="F121" s="36"/>
      <c r="G121" s="36"/>
      <c r="H121" s="36"/>
      <c r="I121" s="36"/>
      <c r="J121" s="36"/>
      <c r="K121" s="36"/>
    </row>
    <row r="122" spans="1:11" ht="17.55" customHeight="1">
      <c r="A122" s="36"/>
      <c r="B122" s="48"/>
      <c r="C122" s="49"/>
      <c r="D122" s="49"/>
      <c r="E122" s="50"/>
      <c r="F122" s="36"/>
      <c r="G122" s="36"/>
      <c r="H122" s="36"/>
      <c r="I122" s="36"/>
      <c r="J122" s="36"/>
      <c r="K122" s="36"/>
    </row>
    <row r="123" spans="1:11" ht="17.55" customHeight="1">
      <c r="A123" s="36"/>
      <c r="B123" s="51"/>
      <c r="C123" s="52"/>
      <c r="D123" s="52"/>
      <c r="E123" s="53"/>
      <c r="F123" s="36"/>
      <c r="G123" s="36"/>
      <c r="H123" s="36"/>
      <c r="I123" s="36"/>
      <c r="J123" s="36"/>
      <c r="K123" s="36"/>
    </row>
    <row r="124" spans="1:11" ht="17.55" customHeight="1">
      <c r="A124" s="36"/>
      <c r="B124" s="36"/>
      <c r="C124" s="36"/>
      <c r="D124" s="36"/>
      <c r="E124" s="36"/>
      <c r="F124" s="36"/>
      <c r="G124" s="36"/>
      <c r="H124" s="36"/>
      <c r="I124" s="36"/>
      <c r="J124" s="36"/>
      <c r="K124" s="36"/>
    </row>
    <row r="125" spans="1:11" ht="17.55" customHeight="1">
      <c r="A125" s="36"/>
      <c r="B125" s="36"/>
      <c r="C125" s="36"/>
      <c r="D125" s="36"/>
      <c r="E125" s="36"/>
      <c r="F125" s="36"/>
      <c r="G125" s="36"/>
      <c r="H125" s="36"/>
      <c r="I125" s="36"/>
      <c r="J125" s="36"/>
      <c r="K125" s="36"/>
    </row>
    <row r="126" spans="1:11" ht="17.55" customHeight="1">
      <c r="A126" s="36"/>
      <c r="B126" s="104" t="s">
        <v>168</v>
      </c>
      <c r="C126" s="105"/>
      <c r="D126" s="105"/>
      <c r="E126" s="105"/>
      <c r="F126" s="105"/>
      <c r="G126" s="105"/>
      <c r="H126" s="105"/>
      <c r="I126" s="105"/>
      <c r="J126" s="106"/>
      <c r="K126" s="36"/>
    </row>
    <row r="127" spans="1:11" ht="17.55" customHeight="1">
      <c r="A127" s="36"/>
      <c r="B127" s="107"/>
      <c r="C127" s="108"/>
      <c r="D127" s="108"/>
      <c r="E127" s="108"/>
      <c r="F127" s="108"/>
      <c r="G127" s="108"/>
      <c r="H127" s="108"/>
      <c r="I127" s="108"/>
      <c r="J127" s="109"/>
      <c r="K127" s="36"/>
    </row>
    <row r="128" spans="1:11" ht="17.55" customHeight="1">
      <c r="A128" s="36"/>
      <c r="B128" s="110"/>
      <c r="C128" s="111"/>
      <c r="D128" s="111"/>
      <c r="E128" s="111"/>
      <c r="F128" s="111"/>
      <c r="G128" s="111"/>
      <c r="H128" s="111"/>
      <c r="I128" s="111"/>
      <c r="J128" s="112"/>
      <c r="K128" s="36"/>
    </row>
    <row r="129" spans="1:11" ht="17.55" customHeight="1">
      <c r="A129" s="36"/>
      <c r="B129" s="36"/>
      <c r="C129" s="36"/>
      <c r="D129" s="36"/>
      <c r="E129" s="36"/>
      <c r="F129" s="36"/>
      <c r="G129" s="36"/>
      <c r="H129" s="36"/>
      <c r="I129" s="36"/>
      <c r="J129" s="36"/>
      <c r="K129" s="36"/>
    </row>
    <row r="130" spans="1:11" ht="17.55" customHeight="1">
      <c r="A130" s="36"/>
      <c r="B130" s="36"/>
      <c r="C130" s="36"/>
      <c r="D130" s="36"/>
      <c r="E130" s="36"/>
      <c r="F130" s="36"/>
      <c r="G130" s="36"/>
      <c r="H130" s="36"/>
      <c r="I130" s="36"/>
      <c r="J130" s="36"/>
      <c r="K130" s="36"/>
    </row>
  </sheetData>
  <mergeCells count="10">
    <mergeCell ref="B2:J3"/>
    <mergeCell ref="B4:J5"/>
    <mergeCell ref="B22:E22"/>
    <mergeCell ref="G22:J22"/>
    <mergeCell ref="B126:J128"/>
    <mergeCell ref="B10:J10"/>
    <mergeCell ref="B11:J14"/>
    <mergeCell ref="B16:E16"/>
    <mergeCell ref="G16:J16"/>
    <mergeCell ref="G17:J20"/>
  </mergeCells>
  <pageMargins left="0.7" right="0.7" top="0.75" bottom="0.75" header="0.3" footer="0.3"/>
  <drawing r:id="rId1"/>
  <tableParts count="1">
    <tablePart r:id="rId2"/>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Feuilles de calcul</vt:lpstr>
      </vt:variant>
      <vt:variant>
        <vt:i4>5</vt:i4>
      </vt:variant>
    </vt:vector>
  </HeadingPairs>
  <TitlesOfParts>
    <vt:vector size="5" baseType="lpstr">
      <vt:lpstr>ACCUEIL</vt:lpstr>
      <vt:lpstr>STRUCTURE</vt:lpstr>
      <vt:lpstr>CHARGES</vt:lpstr>
      <vt:lpstr>RESULTATS</vt:lpstr>
      <vt:lpstr>DIAGRAMMES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MBULINYOLO</dc:creator>
  <cp:lastModifiedBy>MBULINYOLO</cp:lastModifiedBy>
  <dcterms:created xsi:type="dcterms:W3CDTF">2026-06-15T05:27:50Z</dcterms:created>
  <dcterms:modified xsi:type="dcterms:W3CDTF">2026-06-16T12:25:41Z</dcterms:modified>
</cp:coreProperties>
</file>