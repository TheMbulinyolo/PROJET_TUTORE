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0bcfc1cc124e63" /></Relationships>
</file>

<file path=xl/workbook.xml><?xml version="1.0" encoding="utf-8"?>
<x:workbook xmlns:x="http://schemas.openxmlformats.org/spreadsheetml/2006/main">
  <x:sheets>
    <x:sheet xmlns:r="http://schemas.openxmlformats.org/officeDocument/2006/relationships" name="ACCUEIL" sheetId="1" r:id="R8679a56a468f4544"/>
    <x:sheet xmlns:r="http://schemas.openxmlformats.org/officeDocument/2006/relationships" name="STRUCTURE" sheetId="2" r:id="R4725bb4b49764d04"/>
    <x:sheet xmlns:r="http://schemas.openxmlformats.org/officeDocument/2006/relationships" name="CHARGES" sheetId="3" r:id="Raa0785561d014a33"/>
    <x:sheet xmlns:r="http://schemas.openxmlformats.org/officeDocument/2006/relationships" name="RESULTATS" sheetId="4" r:id="Rcac62be5c6c044e6"/>
    <x:sheet xmlns:r="http://schemas.openxmlformats.org/officeDocument/2006/relationships" name="DIAGRAMMES" sheetId="5" r:id="Rc561b5a595ab4e0c"/>
    <x:sheet xmlns:r="http://schemas.openxmlformats.org/officeDocument/2006/relationships" name="PARAMETRES" sheetId="6" r:id="R580636da8b5a447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00"/>
  </x:numFmts>
  <x:fonts count="21">
    <x:font>
      <x:sz val="11"/>
      <x:name val="Carlito"/>
    </x:font>
    <x:font>
      <x:sz val="11"/>
      <x:color rgb="111827"/>
      <x:name val="Carlito"/>
    </x:font>
    <x:font>
      <x:b/>
      <x:sz val="20"/>
      <x:color rgb="FFFFFF"/>
      <x:name val="Carlito"/>
    </x:font>
    <x:font>
      <x:b/>
      <x:sz val="12"/>
      <x:color rgb="111827"/>
      <x:name val="Carlito"/>
    </x:font>
    <x:font>
      <x:b/>
      <x:sz val="11"/>
      <x:color rgb="FFFFFF"/>
      <x:name val="Carlito"/>
    </x:font>
    <x:font>
      <x:b/>
      <x:sz val="22"/>
      <x:color rgb="FFFFFF"/>
      <x:name val="Carlito"/>
    </x:font>
    <x:font>
      <x:b/>
      <x:sz val="12"/>
      <x:color rgb="FFFFFF"/>
      <x:name val="Carlito"/>
    </x:font>
    <x:font>
      <x:b/>
      <x:sz val="11"/>
      <x:color rgb="111827"/>
      <x:name val="Carlito"/>
    </x:font>
    <x:font>
      <x:sz val="11"/>
      <x:color rgb="111827"/>
      <x:name val="Calibri"/>
    </x:font>
    <x:font>
      <x:b/>
      <x:sz val="11"/>
      <x:color rgb="111827"/>
      <x:name val="Calibri"/>
    </x:font>
    <x:font>
      <x:b/>
      <x:sz val="22"/>
      <x:color rgb="FFFFFF"/>
      <x:name val="Calibri"/>
    </x:font>
    <x:font>
      <x:sz val="12"/>
      <x:color rgb="111827"/>
      <x:name val="Calibri"/>
    </x:font>
    <x:font>
      <x:b/>
      <x:sz val="12"/>
      <x:color rgb="111827"/>
      <x:name val="Calibri"/>
    </x:font>
    <x:font>
      <x:b/>
      <x:sz val="11"/>
      <x:color rgb="FFFFFF"/>
      <x:name val="Calibri"/>
    </x:font>
    <x:font>
      <x:b/>
      <x:sz val="13"/>
      <x:color rgb="FFFFFF"/>
      <x:name val="Calibri"/>
    </x:font>
    <x:font>
      <x:b/>
      <x:sz val="21"/>
      <x:color rgb="FFFFFF"/>
      <x:name val="Calibri"/>
    </x:font>
    <x:font>
      <x:sz val="12"/>
      <x:color rgb="111827"/>
      <x:name val="Calibri"/>
    </x:font>
    <x:font>
      <x:sz val="12"/>
      <x:color rgb="111827"/>
      <x:name val="Carlito"/>
    </x:font>
    <x:font>
      <x:b/>
      <x:sz val="13"/>
      <x:color rgb="FFFFFF"/>
      <x:name val="Carlito"/>
    </x:font>
    <x:font>
      <x:sz val="13"/>
      <x:color rgb="111827"/>
      <x:name val="Carlito"/>
    </x:font>
    <x:font>
      <x:sz val="11"/>
      <x:color rgb="111827"/>
      <x:name val="Carlito"/>
    </x:font>
  </x:fonts>
  <x:fills count="40">
    <x:fill>
      <x:patternFill patternType="none"/>
    </x:fill>
    <x:fill>
      <x:patternFill patternType="gray125"/>
    </x:fill>
    <x:fill>
      <x:patternFill patternType="solid">
        <x:fgColor rgb="F4F7FB"/>
      </x:patternFill>
    </x:fill>
    <x:fill>
      <x:patternFill patternType="solid">
        <x:fgColor rgb="173B57"/>
      </x:patternFill>
    </x:fill>
    <x:fill>
      <x:patternFill patternType="solid">
        <x:fgColor rgb="DBEAFE"/>
      </x:patternFill>
    </x:fill>
    <x:fill>
      <x:patternFill patternType="solid">
        <x:fgColor rgb="2563EB"/>
      </x:patternFill>
    </x:fill>
    <x:fill>
      <x:patternFill patternType="solid">
        <x:fgColor rgb="16A34A"/>
      </x:patternFill>
    </x:fill>
    <x:fill>
      <x:patternFill patternType="solid">
        <x:fgColor rgb="7C3AED"/>
      </x:patternFill>
    </x:fill>
    <x:fill>
      <x:patternFill patternType="solid">
        <x:fgColor rgb="F97316"/>
      </x:patternFill>
    </x:fill>
    <x:fill>
      <x:patternFill patternType="solid">
        <x:fgColor rgb="FFFFFF"/>
      </x:patternFill>
    </x:fill>
    <x:fill>
      <x:patternFill patternType="solid">
        <x:fgColor rgb="E5E7EB"/>
      </x:patternFill>
    </x:fill>
    <x:fill>
      <x:patternFill patternType="solid">
        <x:fgColor rgb="FFF7ED"/>
      </x:patternFill>
    </x:fill>
    <x:fill>
      <x:patternFill patternType="solid">
        <x:fgColor rgb="F4F7FB"/>
      </x:patternFill>
    </x:fill>
    <x:fill>
      <x:patternFill patternType="solid">
        <x:fgColor rgb="173B57"/>
      </x:patternFill>
    </x:fill>
    <x:fill>
      <x:patternFill patternType="solid">
        <x:fgColor rgb="DBEAFE"/>
      </x:patternFill>
    </x:fill>
    <x:fill>
      <x:patternFill patternType="solid">
        <x:fgColor rgb="2563EB"/>
      </x:patternFill>
    </x:fill>
    <x:fill>
      <x:patternFill patternType="solid">
        <x:fgColor rgb="F97316"/>
      </x:patternFill>
    </x:fill>
    <x:fill>
      <x:patternFill patternType="solid">
        <x:fgColor rgb="16A34A"/>
      </x:patternFill>
    </x:fill>
    <x:fill>
      <x:patternFill patternType="solid">
        <x:fgColor rgb="7C3AED"/>
      </x:patternFill>
    </x:fill>
    <x:fill>
      <x:patternFill patternType="solid">
        <x:fgColor rgb="FFFFFF"/>
      </x:patternFill>
    </x:fill>
    <x:fill>
      <x:patternFill patternType="solid">
        <x:fgColor rgb="EFF6FF"/>
      </x:patternFill>
    </x:fill>
    <x:fill>
      <x:patternFill patternType="solid">
        <x:fgColor rgb="F8FAFC"/>
      </x:patternFill>
    </x:fill>
    <x:fill>
      <x:patternFill patternType="solid">
        <x:fgColor rgb="ECFDF5"/>
      </x:patternFill>
    </x:fill>
    <x:fill>
      <x:patternFill patternType="solid">
        <x:fgColor rgb="F4F7FB"/>
      </x:patternFill>
    </x:fill>
    <x:fill>
      <x:patternFill patternType="solid">
        <x:fgColor rgb="173B57"/>
      </x:patternFill>
    </x:fill>
    <x:fill>
      <x:patternFill patternType="solid">
        <x:fgColor rgb="DBEAFE"/>
      </x:patternFill>
    </x:fill>
    <x:fill>
      <x:patternFill patternType="solid">
        <x:fgColor rgb="F97316"/>
      </x:patternFill>
    </x:fill>
    <x:fill>
      <x:patternFill patternType="solid">
        <x:fgColor rgb="7C3AED"/>
      </x:patternFill>
    </x:fill>
    <x:fill>
      <x:patternFill patternType="solid">
        <x:fgColor rgb="2563EB"/>
      </x:patternFill>
    </x:fill>
    <x:fill>
      <x:patternFill patternType="solid">
        <x:fgColor rgb="FFFFFF"/>
      </x:patternFill>
    </x:fill>
    <x:fill>
      <x:patternFill patternType="solid">
        <x:fgColor rgb="E0F2FE"/>
      </x:patternFill>
    </x:fill>
    <x:fill>
      <x:patternFill patternType="solid">
        <x:fgColor rgb="16A34A"/>
      </x:patternFill>
    </x:fill>
    <x:fill>
      <x:patternFill patternType="solid">
        <x:fgColor rgb="F8FAFC"/>
      </x:patternFill>
    </x:fill>
    <x:fill>
      <x:patternFill patternType="solid">
        <x:fgColor rgb="F4F7FB"/>
      </x:patternFill>
    </x:fill>
    <x:fill>
      <x:patternFill patternType="solid">
        <x:fgColor rgb="173B57"/>
      </x:patternFill>
    </x:fill>
    <x:fill>
      <x:patternFill patternType="solid">
        <x:fgColor rgb="DBEAFE"/>
      </x:patternFill>
    </x:fill>
    <x:fill>
      <x:patternFill patternType="solid">
        <x:fgColor rgb="2563EB"/>
      </x:patternFill>
    </x:fill>
    <x:fill>
      <x:patternFill patternType="solid">
        <x:fgColor rgb="16A34A"/>
      </x:patternFill>
    </x:fill>
    <x:fill>
      <x:patternFill patternType="solid">
        <x:fgColor rgb="F97316"/>
      </x:patternFill>
    </x:fill>
    <x:fill>
      <x:patternFill patternType="solid">
        <x:fgColor rgb="FFFFFF"/>
      </x:patternFill>
    </x:fill>
  </x:fills>
  <x:borders count="24">
    <x:border/>
    <x:border/>
    <x:border>
      <x:left>
        <x:color rgb="CBD5E1"/>
      </x:left>
      <x:right>
        <x:color rgb="CBD5E1"/>
      </x:right>
      <x:top>
        <x:color rgb="CBD5E1"/>
      </x:top>
      <x:bottom>
        <x:color rgb="CBD5E1"/>
      </x:bottom>
    </x:border>
    <x:border>
      <x:left>
        <x:color rgb="D1D5DB"/>
      </x:left>
      <x:right>
        <x:color rgb="D1D5DB"/>
      </x:right>
      <x:top>
        <x:color rgb="D1D5DB"/>
      </x:top>
      <x:bottom>
        <x:color rgb="D1D5DB"/>
      </x:bottom>
    </x:border>
    <x:border>
      <x:left>
        <x:color rgb="D1D5DB"/>
      </x:left>
      <x:top>
        <x:color rgb="D1D5DB"/>
      </x:top>
    </x:border>
    <x:border>
      <x:top>
        <x:color rgb="D1D5DB"/>
      </x:top>
    </x:border>
    <x:border>
      <x:right>
        <x:color rgb="D1D5DB"/>
      </x:right>
      <x:top>
        <x:color rgb="D1D5DB"/>
      </x:top>
    </x:border>
    <x:border>
      <x:left>
        <x:color rgb="D1D5DB"/>
      </x:left>
    </x:border>
    <x:border>
      <x:right>
        <x:color rgb="D1D5DB"/>
      </x:right>
    </x:border>
    <x:border>
      <x:left>
        <x:color rgb="D1D5DB"/>
      </x:left>
      <x:bottom>
        <x:color rgb="D1D5DB"/>
      </x:bottom>
    </x:border>
    <x:border>
      <x:bottom>
        <x:color rgb="D1D5DB"/>
      </x:bottom>
    </x:border>
    <x:border>
      <x:right>
        <x:color rgb="D1D5DB"/>
      </x:right>
      <x:bottom>
        <x:color rgb="D1D5DB"/>
      </x:bottom>
    </x:border>
    <x:border>
      <x:right>
        <x:color rgb="D1D5DB"/>
      </x:right>
      <x:bottom>
        <x:color rgb="D1D5DB"/>
      </x:bottom>
    </x:border>
    <x:border>
      <x:left>
        <x:color rgb="D1D5DB"/>
      </x:left>
      <x:right>
        <x:color rgb="D1D5DB"/>
      </x:right>
      <x:bottom>
        <x:color rgb="D1D5DB"/>
      </x:bottom>
    </x:border>
    <x:border>
      <x:left>
        <x:color rgb="D1D5DB"/>
      </x:left>
      <x:bottom>
        <x:color rgb="D1D5DB"/>
      </x:bottom>
    </x:border>
    <x:border>
      <x:right>
        <x:color rgb="D1D5DB"/>
      </x:right>
      <x:top>
        <x:color rgb="D1D5DB"/>
      </x:top>
    </x:border>
    <x:border>
      <x:left>
        <x:color rgb="D1D5DB"/>
      </x:left>
      <x:right>
        <x:color rgb="D1D5DB"/>
      </x:right>
      <x:top>
        <x:color rgb="D1D5DB"/>
      </x:top>
    </x:border>
    <x:border>
      <x:left>
        <x:color rgb="D1D5DB"/>
      </x:left>
      <x:top>
        <x:color rgb="D1D5DB"/>
      </x:top>
    </x:border>
    <x:border>
      <x:right>
        <x:color rgb="D1D5DB"/>
      </x:right>
    </x:border>
    <x:border>
      <x:left>
        <x:color rgb="D1D5DB"/>
      </x:left>
      <x:right>
        <x:color rgb="D1D5DB"/>
      </x:right>
    </x:border>
    <x:border>
      <x:left>
        <x:color rgb="D1D5DB"/>
      </x:left>
    </x:border>
    <x:border>
      <x:right>
        <x:color rgb="D1D5DB"/>
      </x:right>
      <x:top>
        <x:color rgb="D1D5DB"/>
      </x:top>
      <x:bottom>
        <x:color rgb="D1D5DB"/>
      </x:bottom>
    </x:border>
    <x:border>
      <x:left>
        <x:color rgb="D1D5DB"/>
      </x:left>
      <x:right>
        <x:color rgb="D1D5DB"/>
      </x:right>
      <x:top>
        <x:color rgb="D1D5DB"/>
      </x:top>
      <x:bottom>
        <x:color rgb="D1D5DB"/>
      </x:bottom>
    </x:border>
    <x:border>
      <x:left>
        <x:color rgb="D1D5DB"/>
      </x:left>
      <x:top>
        <x:color rgb="D1D5DB"/>
      </x:top>
      <x:bottom>
        <x:color rgb="D1D5DB"/>
      </x:bottom>
    </x:border>
  </x:borders>
  <x:cellStyleXfs count="1">
    <x:xf numFmtId="0" fontId="0" fillId="0" borderId="0"/>
  </x:cellStyleXfs>
  <x:cellXfs count="50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1" fillId="4" borderId="0" xfId="0" applyNumberFormat="1" applyFont="1" applyFill="1" applyBorder="1"/>
    <x:xf numFmtId="0" fontId="1"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1" fillId="5" borderId="0" xfId="0" applyNumberFormat="1" applyFont="1" applyFill="1" applyBorder="1"/>
    <x:xf numFmtId="0" fontId="1"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horizontal="center"/>
    </x:xf>
    <x:xf numFmtId="0" fontId="4" fillId="5" borderId="1"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0" fontId="1" fillId="6" borderId="0" xfId="0" applyNumberFormat="1" applyFont="1" applyFill="1" applyBorder="1"/>
    <x:xf numFmtId="0" fontId="1"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0" xfId="0" applyNumberFormat="1" applyFont="1" applyFill="1" applyBorder="1" applyAlignment="1">
      <x:alignment horizontal="center"/>
    </x:xf>
    <x:xf numFmtId="0" fontId="4" fillId="6" borderId="1" xfId="0" applyNumberFormat="1" applyFont="1" applyFill="1" applyBorder="1" applyAlignment="1">
      <x:alignment horizontal="center"/>
    </x:xf>
    <x:xf numFmtId="0" fontId="4" fillId="6" borderId="0" xfId="0" applyNumberFormat="1" applyFont="1" applyFill="1" applyBorder="1" applyAlignment="1">
      <x:alignment horizontal="center" vertical="center"/>
    </x:xf>
    <x:xf numFmtId="0" fontId="4" fillId="6" borderId="1" xfId="0" applyNumberFormat="1" applyFont="1" applyFill="1" applyBorder="1" applyAlignment="1">
      <x:alignment horizontal="center" vertical="center"/>
    </x:xf>
    <x:xf numFmtId="0" fontId="1" fillId="7" borderId="0" xfId="0" applyNumberFormat="1" applyFont="1" applyFill="1" applyBorder="1"/>
    <x:xf numFmtId="0" fontId="1" fillId="7" borderId="1"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4" fillId="7" borderId="0" xfId="0" applyNumberFormat="1" applyFont="1" applyFill="1" applyBorder="1" applyAlignment="1">
      <x:alignment horizontal="center"/>
    </x:xf>
    <x:xf numFmtId="0" fontId="4" fillId="7" borderId="1"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4" fillId="7" borderId="1"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0" xfId="0" applyNumberFormat="1" applyFont="1" applyFill="1" applyBorder="1" applyAlignment="1">
      <x:alignment horizontal="center"/>
    </x:xf>
    <x:xf numFmtId="0" fontId="5" fillId="3" borderId="1"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5" fillId="3" borderId="1" xfId="0" applyNumberFormat="1" applyFont="1" applyFill="1" applyBorder="1" applyAlignment="1">
      <x:alignment horizontal="center" vertical="center"/>
    </x:xf>
    <x:xf numFmtId="0" fontId="5" fillId="3" borderId="0"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center" wrapText="1"/>
    </x:xf>
    <x:xf numFmtId="0" fontId="4" fillId="3" borderId="0" xfId="0" applyNumberFormat="1" applyFont="1" applyFill="1" applyBorder="1"/>
    <x:xf numFmtId="0" fontId="4" fillId="3" borderId="1" xfId="0" applyNumberFormat="1" applyFont="1" applyFill="1" applyBorder="1"/>
    <x:xf numFmtId="0" fontId="4" fillId="3" borderId="0" xfId="0" applyNumberFormat="1" applyFont="1" applyFill="1" applyBorder="1" applyAlignment="1">
      <x:alignment horizontal="center"/>
    </x:xf>
    <x:xf numFmtId="0" fontId="4" fillId="3" borderId="1"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4" fillId="3" borderId="1" xfId="0" applyNumberFormat="1" applyFont="1" applyFill="1" applyBorder="1" applyAlignment="1">
      <x:alignment horizontal="center" vertical="center"/>
    </x:xf>
    <x:xf numFmtId="0" fontId="1" fillId="8" borderId="0" xfId="0" applyNumberFormat="1" applyFont="1" applyFill="1" applyBorder="1"/>
    <x:xf numFmtId="0" fontId="1" fillId="8" borderId="1" xfId="0" applyNumberFormat="1" applyFont="1" applyFill="1" applyBorder="1"/>
    <x:xf numFmtId="0" fontId="4" fillId="8" borderId="0" xfId="0" applyNumberFormat="1" applyFont="1" applyFill="1" applyBorder="1"/>
    <x:xf numFmtId="0" fontId="4" fillId="8" borderId="1" xfId="0" applyNumberFormat="1" applyFont="1" applyFill="1" applyBorder="1"/>
    <x:xf numFmtId="0" fontId="4" fillId="8" borderId="0" xfId="0" applyNumberFormat="1" applyFont="1" applyFill="1" applyBorder="1" applyAlignment="1">
      <x:alignment horizontal="center"/>
    </x:xf>
    <x:xf numFmtId="0" fontId="4" fillId="8" borderId="1" xfId="0" applyNumberFormat="1" applyFont="1" applyFill="1" applyBorder="1" applyAlignment="1">
      <x:alignment horizontal="center"/>
    </x:xf>
    <x:xf numFmtId="0" fontId="4" fillId="8" borderId="0" xfId="0" applyNumberFormat="1" applyFont="1" applyFill="1" applyBorder="1" applyAlignment="1">
      <x:alignment horizontal="center" vertical="center"/>
    </x:xf>
    <x:xf numFmtId="0" fontId="4" fillId="8" borderId="1" xfId="0" applyNumberFormat="1" applyFont="1" applyFill="1" applyBorder="1" applyAlignment="1">
      <x:alignment horizontal="center" vertical="center"/>
    </x:xf>
    <x:xf numFmtId="0" fontId="6" fillId="3" borderId="0" xfId="0" applyNumberFormat="1" applyFont="1" applyFill="1" applyBorder="1"/>
    <x:xf numFmtId="0" fontId="6" fillId="3" borderId="1" xfId="0" applyNumberFormat="1" applyFont="1" applyFill="1" applyBorder="1"/>
    <x:xf numFmtId="0" fontId="6" fillId="3" borderId="0" xfId="0" applyNumberFormat="1" applyFont="1" applyFill="1" applyBorder="1" applyAlignment="1">
      <x:alignment horizontal="left"/>
    </x:xf>
    <x:xf numFmtId="0" fontId="6" fillId="3" borderId="1" xfId="0" applyNumberFormat="1" applyFont="1" applyFill="1" applyBorder="1" applyAlignment="1">
      <x:alignment horizontal="left"/>
    </x:xf>
    <x:xf numFmtId="0" fontId="6" fillId="3" borderId="0" xfId="0" applyNumberFormat="1" applyFont="1" applyFill="1" applyBorder="1" applyAlignment="1">
      <x:alignment horizontal="left" vertical="center"/>
    </x:xf>
    <x:xf numFmtId="0" fontId="6" fillId="3" borderId="1" xfId="0" applyNumberFormat="1" applyFont="1" applyFill="1" applyBorder="1" applyAlignment="1">
      <x:alignment horizontal="left" vertical="center"/>
    </x:xf>
    <x:xf numFmtId="0" fontId="7" fillId="4" borderId="0" xfId="0" applyNumberFormat="1" applyFont="1" applyFill="1" applyBorder="1"/>
    <x:xf numFmtId="0" fontId="7" fillId="4" borderId="1" xfId="0" applyNumberFormat="1" applyFont="1" applyFill="1" applyBorder="1"/>
    <x:xf numFmtId="0" fontId="7" fillId="4" borderId="0" xfId="0" applyNumberFormat="1" applyFont="1" applyFill="1" applyBorder="1" applyAlignment="1">
      <x:alignment horizontal="left"/>
    </x:xf>
    <x:xf numFmtId="0" fontId="7" fillId="4" borderId="1" xfId="0" applyNumberFormat="1" applyFont="1" applyFill="1" applyBorder="1" applyAlignment="1">
      <x:alignment horizontal="left"/>
    </x:xf>
    <x:xf numFmtId="0" fontId="7" fillId="4" borderId="0" xfId="0" applyNumberFormat="1" applyFont="1" applyFill="1" applyBorder="1" applyAlignment="1">
      <x:alignment horizontal="left" vertical="center"/>
    </x:xf>
    <x:xf numFmtId="0" fontId="7" fillId="4" borderId="1" xfId="0" applyNumberFormat="1" applyFont="1" applyFill="1" applyBorder="1" applyAlignment="1">
      <x:alignment horizontal="left" vertical="center"/>
    </x:xf>
    <x:xf numFmtId="0" fontId="1" fillId="9" borderId="0" xfId="0" applyNumberFormat="1" applyFont="1" applyFill="1" applyBorder="1"/>
    <x:xf numFmtId="0" fontId="1" fillId="9" borderId="1" xfId="0" applyNumberFormat="1" applyFont="1" applyFill="1" applyBorder="1"/>
    <x:xf numFmtId="0" fontId="1" fillId="9" borderId="0" xfId="0" applyNumberFormat="1" applyFont="1" applyFill="1" applyBorder="1" applyAlignment="1">
      <x:alignment horizontal="center"/>
    </x:xf>
    <x:xf numFmtId="0" fontId="1" fillId="9" borderId="1"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1" fillId="9" borderId="1" xfId="0" applyNumberFormat="1" applyFont="1" applyFill="1" applyBorder="1" applyAlignment="1">
      <x:alignment horizontal="center" vertical="center"/>
    </x:xf>
    <x:xf numFmtId="0" fontId="1" fillId="10" borderId="0" xfId="0" applyNumberFormat="1" applyFont="1" applyFill="1" applyBorder="1"/>
    <x:xf numFmtId="0" fontId="1" fillId="10" borderId="1" xfId="0" applyNumberFormat="1" applyFont="1" applyFill="1" applyBorder="1"/>
    <x:xf numFmtId="0" fontId="1" fillId="10" borderId="0" xfId="0" applyNumberFormat="1" applyFont="1" applyFill="1" applyBorder="1" applyAlignment="1">
      <x:alignment horizontal="center"/>
    </x:xf>
    <x:xf numFmtId="0" fontId="1" fillId="10" borderId="1" xfId="0" applyNumberFormat="1" applyFont="1" applyFill="1" applyBorder="1" applyAlignment="1">
      <x:alignment horizontal="center"/>
    </x:xf>
    <x:xf numFmtId="0" fontId="1" fillId="10" borderId="0" xfId="0" applyNumberFormat="1" applyFont="1" applyFill="1" applyBorder="1" applyAlignment="1">
      <x:alignment horizontal="center" vertical="center"/>
    </x:xf>
    <x:xf numFmtId="0" fontId="1" fillId="10" borderId="1" xfId="0" applyNumberFormat="1" applyFont="1" applyFill="1" applyBorder="1" applyAlignment="1">
      <x:alignment horizontal="center" vertical="center"/>
    </x:xf>
    <x:xf numFmtId="0" fontId="1" fillId="11" borderId="0" xfId="0" applyNumberFormat="1" applyFont="1" applyFill="1" applyBorder="1" applyAlignment="1">
      <x:alignment horizontal="center" vertical="center"/>
    </x:xf>
    <x:xf numFmtId="0" fontId="1" fillId="11" borderId="1" xfId="0" applyNumberFormat="1" applyFont="1" applyFill="1" applyBorder="1" applyAlignment="1">
      <x:alignment horizontal="center" vertical="center"/>
    </x:xf>
    <x:xf numFmtId="0" fontId="7" fillId="11" borderId="0" xfId="0" applyNumberFormat="1" applyFont="1" applyFill="1" applyBorder="1" applyAlignment="1">
      <x:alignment horizontal="center" vertical="center"/>
    </x:xf>
    <x:xf numFmtId="0" fontId="7" fillId="11" borderId="1" xfId="0" applyNumberFormat="1" applyFont="1" applyFill="1" applyBorder="1" applyAlignment="1">
      <x:alignment horizontal="center" vertical="center"/>
    </x:xf>
    <x:xf numFmtId="0" fontId="1" fillId="9" borderId="0" xfId="0" applyNumberFormat="1" applyFont="1" applyFill="1" applyBorder="1" applyAlignment="1">
      <x:alignment wrapText="1"/>
    </x:xf>
    <x:xf numFmtId="0" fontId="1" fillId="9" borderId="1" xfId="0" applyNumberFormat="1" applyFont="1" applyFill="1" applyBorder="1" applyAlignment="1">
      <x:alignment wrapText="1"/>
    </x:xf>
    <x:xf numFmtId="0" fontId="1" fillId="9" borderId="0" xfId="0" applyNumberFormat="1" applyFont="1" applyFill="1" applyBorder="1" applyAlignment="1">
      <x:alignment vertical="center" wrapText="1"/>
    </x:xf>
    <x:xf numFmtId="0" fontId="1" fillId="9" borderId="1" xfId="0" applyNumberFormat="1" applyFont="1" applyFill="1" applyBorder="1" applyAlignment="1">
      <x:alignment vertical="center" wrapText="1"/>
    </x:xf>
    <x:xf numFmtId="0" fontId="1" fillId="9" borderId="0" xfId="0" applyNumberFormat="1" applyFont="1" applyFill="1" applyBorder="1" applyAlignment="1">
      <x:alignment horizontal="left" vertical="center" wrapText="1"/>
    </x:xf>
    <x:xf numFmtId="0" fontId="1" fillId="9" borderId="1" xfId="0" applyNumberFormat="1" applyFont="1" applyFill="1" applyBorder="1" applyAlignment="1">
      <x:alignment horizontal="left" vertical="center" wrapText="1"/>
    </x:xf>
    <x:xf numFmtId="0" fontId="1" fillId="9"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center" vertical="center" wrapText="1"/>
    </x:xf>
    <x:xf numFmtId="0" fontId="1" fillId="9" borderId="1" xfId="0" applyNumberFormat="1" applyFont="1" applyFill="1" applyBorder="1" applyAlignment="1">
      <x:alignment horizontal="center" vertical="center" wrapText="1"/>
    </x:xf>
    <x:xf numFmtId="0" fontId="1" fillId="10" borderId="1" xfId="0" applyNumberFormat="1" applyFont="1" applyFill="1" applyBorder="1" applyAlignment="1">
      <x:alignment horizontal="center" vertical="center" wrapText="1"/>
    </x:xf>
    <x:xf numFmtId="200" fontId="1" fillId="9" borderId="0" xfId="0" applyNumberFormat="1" applyFont="1" applyFill="1" applyBorder="1" applyAlignment="1">
      <x:alignment horizontal="center" vertical="center" wrapText="1"/>
    </x:xf>
    <x:xf numFmtId="200" fontId="1" fillId="9" borderId="1" xfId="0" applyNumberFormat="1" applyFont="1" applyFill="1" applyBorder="1" applyAlignment="1">
      <x:alignment horizontal="center" vertical="center" wrapText="1"/>
    </x:xf>
    <x:xf numFmtId="201" fontId="1" fillId="10" borderId="0" xfId="0" applyNumberFormat="1" applyFont="1" applyFill="1" applyBorder="1" applyAlignment="1">
      <x:alignment horizontal="center" vertical="center" wrapText="1"/>
    </x:xf>
    <x:xf numFmtId="201" fontId="1" fillId="10" borderId="1" xfId="0" applyNumberFormat="1" applyFont="1" applyFill="1" applyBorder="1" applyAlignment="1">
      <x:alignment horizontal="center" vertical="center" wrapText="1"/>
    </x:xf>
    <x:xf numFmtId="0" fontId="1" fillId="10" borderId="0" xfId="0" applyNumberFormat="1" applyFont="1" applyFill="1" applyBorder="1" applyAlignment="1">
      <x:alignment wrapText="1"/>
    </x:xf>
    <x:xf numFmtId="0" fontId="1" fillId="10" borderId="1" xfId="0" applyNumberFormat="1" applyFont="1" applyFill="1" applyBorder="1" applyAlignment="1">
      <x:alignment wrapText="1"/>
    </x:xf>
    <x:xf numFmtId="0" fontId="7" fillId="10" borderId="0" xfId="0" applyNumberFormat="1" applyFont="1" applyFill="1" applyBorder="1" applyAlignment="1">
      <x:alignment wrapText="1"/>
    </x:xf>
    <x:xf numFmtId="0" fontId="7" fillId="10" borderId="1"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1"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0" fillId="0" borderId="0" xfId="0" applyNumberFormat="1" applyFont="1" applyFill="1" applyBorder="1"/>
    <x:xf numFmtId="0" fontId="1" fillId="12" borderId="0" xfId="0" applyNumberFormat="1" applyFont="1" applyFill="1" applyBorder="1"/>
    <x:xf numFmtId="0" fontId="0" fillId="12" borderId="0" xfId="0" applyNumberFormat="1" applyFont="1" applyFill="1" applyBorder="1"/>
    <x:xf numFmtId="0" fontId="2" fillId="12" borderId="0" xfId="0" applyNumberFormat="1" applyFont="1" applyFill="1" applyBorder="1" applyAlignment="1">
      <x:alignment horizontal="center" vertical="center" wrapText="1"/>
    </x:xf>
    <x:xf numFmtId="0" fontId="3" fillId="12" borderId="0" xfId="0" applyNumberFormat="1" applyFont="1" applyFill="1" applyBorder="1" applyAlignment="1">
      <x:alignment horizontal="center" vertical="center" wrapText="1"/>
    </x:xf>
    <x:xf numFmtId="0" fontId="8" fillId="12" borderId="0" xfId="0" applyNumberFormat="1" applyFont="1" applyFill="1" applyBorder="1"/>
    <x:xf numFmtId="0" fontId="9" fillId="12" borderId="0" xfId="0" applyNumberFormat="1" applyFont="1" applyFill="1" applyBorder="1" applyAlignment="1">
      <x:alignment horizontal="center" vertical="center" wrapText="1"/>
    </x:xf>
    <x:xf numFmtId="0" fontId="8" fillId="12" borderId="0" xfId="0" applyNumberFormat="1" applyFont="1" applyFill="1" applyBorder="1" applyAlignment="1">
      <x:alignment vertical="center"/>
    </x:xf>
    <x:xf numFmtId="0" fontId="9" fillId="13" borderId="0" xfId="0" applyNumberFormat="1" applyFont="1" applyFill="1" applyBorder="1" applyAlignment="1">
      <x:alignment horizontal="center" vertical="center" wrapText="1"/>
    </x:xf>
    <x:xf numFmtId="0" fontId="8" fillId="13" borderId="0" xfId="0" applyNumberFormat="1" applyFont="1" applyFill="1" applyBorder="1" applyAlignment="1">
      <x:alignment vertical="center"/>
    </x:xf>
    <x:xf numFmtId="0" fontId="10" fillId="13" borderId="0" xfId="0" applyNumberFormat="1" applyFont="1" applyFill="1" applyBorder="1" applyAlignment="1">
      <x:alignment horizontal="center" vertical="center" wrapText="1"/>
    </x:xf>
    <x:xf numFmtId="0" fontId="10" fillId="13" borderId="0" xfId="0" applyNumberFormat="1" applyFont="1" applyFill="1" applyBorder="1" applyAlignment="1">
      <x:alignment vertical="center"/>
    </x:xf>
    <x:xf numFmtId="0" fontId="10" fillId="13" borderId="0" xfId="0" applyNumberFormat="1" applyFont="1" applyFill="1" applyBorder="1" applyAlignment="1">
      <x:alignment horizontal="center" vertical="center"/>
    </x:xf>
    <x:xf numFmtId="0" fontId="8" fillId="14" borderId="0" xfId="0" applyNumberFormat="1" applyFont="1" applyFill="1" applyBorder="1" applyAlignment="1">
      <x:alignment vertical="center"/>
    </x:xf>
    <x:xf numFmtId="0" fontId="9" fillId="14" borderId="0" xfId="0" applyNumberFormat="1" applyFont="1" applyFill="1" applyBorder="1" applyAlignment="1">
      <x:alignment horizontal="center" vertical="center" wrapText="1"/>
    </x:xf>
    <x:xf numFmtId="0" fontId="11" fillId="14" borderId="0" xfId="0" applyNumberFormat="1" applyFont="1" applyFill="1" applyBorder="1" applyAlignment="1">
      <x:alignment vertical="center"/>
    </x:xf>
    <x:xf numFmtId="0" fontId="12" fillId="14" borderId="0" xfId="0" applyNumberFormat="1" applyFont="1" applyFill="1" applyBorder="1" applyAlignment="1">
      <x:alignment horizontal="center" vertical="center" wrapText="1"/>
    </x:xf>
    <x:xf numFmtId="0" fontId="11" fillId="14" borderId="0" xfId="0" applyNumberFormat="1" applyFont="1" applyFill="1" applyBorder="1" applyAlignment="1">
      <x:alignment vertical="center" wrapText="1"/>
    </x:xf>
    <x:xf numFmtId="0" fontId="11" fillId="14" borderId="0" xfId="0" applyNumberFormat="1" applyFont="1" applyFill="1" applyBorder="1" applyAlignment="1">
      <x:alignment horizontal="center" vertical="center" wrapText="1"/>
    </x:xf>
    <x:xf numFmtId="0" fontId="8" fillId="15" borderId="0" xfId="0" applyNumberFormat="1" applyFont="1" applyFill="1" applyBorder="1" applyAlignment="1">
      <x:alignment vertical="center"/>
    </x:xf>
    <x:xf numFmtId="0" fontId="13" fillId="15" borderId="0" xfId="0" applyNumberFormat="1" applyFont="1" applyFill="1" applyBorder="1" applyAlignment="1">
      <x:alignment vertical="center"/>
    </x:xf>
    <x:xf numFmtId="0" fontId="13" fillId="15" borderId="0" xfId="0" applyNumberFormat="1" applyFont="1" applyFill="1" applyBorder="1" applyAlignment="1">
      <x:alignment vertical="center" wrapText="1"/>
    </x:xf>
    <x:xf numFmtId="0" fontId="13" fillId="15" borderId="0" xfId="0" applyNumberFormat="1" applyFont="1" applyFill="1" applyBorder="1" applyAlignment="1">
      <x:alignment horizontal="center" vertical="center" wrapText="1"/>
    </x:xf>
    <x:xf numFmtId="0" fontId="8" fillId="16" borderId="0" xfId="0" applyNumberFormat="1" applyFont="1" applyFill="1" applyBorder="1" applyAlignment="1">
      <x:alignment vertical="center"/>
    </x:xf>
    <x:xf numFmtId="0" fontId="13" fillId="16" borderId="0" xfId="0" applyNumberFormat="1" applyFont="1" applyFill="1" applyBorder="1" applyAlignment="1">
      <x:alignment vertical="center"/>
    </x:xf>
    <x:xf numFmtId="0" fontId="13" fillId="16" borderId="0" xfId="0" applyNumberFormat="1" applyFont="1" applyFill="1" applyBorder="1" applyAlignment="1">
      <x:alignment vertical="center" wrapText="1"/>
    </x:xf>
    <x:xf numFmtId="0" fontId="13" fillId="16" borderId="0" xfId="0" applyNumberFormat="1" applyFont="1" applyFill="1" applyBorder="1" applyAlignment="1">
      <x:alignment horizontal="center" vertical="center" wrapText="1"/>
    </x:xf>
    <x:xf numFmtId="0" fontId="8" fillId="17" borderId="0" xfId="0" applyNumberFormat="1" applyFont="1" applyFill="1" applyBorder="1" applyAlignment="1">
      <x:alignment vertical="center"/>
    </x:xf>
    <x:xf numFmtId="0" fontId="13" fillId="17" borderId="0" xfId="0" applyNumberFormat="1" applyFont="1" applyFill="1" applyBorder="1" applyAlignment="1">
      <x:alignment vertical="center"/>
    </x:xf>
    <x:xf numFmtId="0" fontId="13" fillId="17" borderId="0" xfId="0" applyNumberFormat="1" applyFont="1" applyFill="1" applyBorder="1" applyAlignment="1">
      <x:alignment vertical="center" wrapText="1"/>
    </x:xf>
    <x:xf numFmtId="0" fontId="13" fillId="17" borderId="0" xfId="0" applyNumberFormat="1" applyFont="1" applyFill="1" applyBorder="1" applyAlignment="1">
      <x:alignment horizontal="center" vertical="center" wrapText="1"/>
    </x:xf>
    <x:xf numFmtId="0" fontId="8" fillId="18" borderId="0" xfId="0" applyNumberFormat="1" applyFont="1" applyFill="1" applyBorder="1" applyAlignment="1">
      <x:alignment vertical="center"/>
    </x:xf>
    <x:xf numFmtId="0" fontId="13" fillId="18" borderId="0" xfId="0" applyNumberFormat="1" applyFont="1" applyFill="1" applyBorder="1" applyAlignment="1">
      <x:alignment vertical="center"/>
    </x:xf>
    <x:xf numFmtId="0" fontId="13" fillId="18" borderId="0" xfId="0" applyNumberFormat="1" applyFont="1" applyFill="1" applyBorder="1" applyAlignment="1">
      <x:alignment vertical="center" wrapText="1"/>
    </x:xf>
    <x:xf numFmtId="0" fontId="13" fillId="18" borderId="0" xfId="0" applyNumberFormat="1" applyFont="1" applyFill="1" applyBorder="1" applyAlignment="1">
      <x:alignment horizontal="center" vertical="center" wrapText="1"/>
    </x:xf>
    <x:xf numFmtId="0" fontId="14" fillId="13" borderId="0" xfId="0" applyNumberFormat="1" applyFont="1" applyFill="1" applyBorder="1" applyAlignment="1">
      <x:alignment vertical="center"/>
    </x:xf>
    <x:xf numFmtId="0" fontId="14" fillId="13" borderId="0" xfId="0" applyNumberFormat="1" applyFont="1" applyFill="1" applyBorder="1" applyAlignment="1">
      <x:alignment horizontal="center" vertical="center"/>
    </x:xf>
    <x:xf numFmtId="0" fontId="8" fillId="19" borderId="0" xfId="0" applyNumberFormat="1" applyFont="1" applyFill="1" applyBorder="1" applyAlignment="1">
      <x:alignment vertical="center"/>
    </x:xf>
    <x:xf numFmtId="0" fontId="8" fillId="19" borderId="0" xfId="0" applyNumberFormat="1" applyFont="1" applyFill="1" applyBorder="1" applyAlignment="1">
      <x:alignment vertical="center" wrapText="1"/>
    </x:xf>
    <x:xf numFmtId="0" fontId="8" fillId="19" borderId="0" xfId="0" applyNumberFormat="1" applyFont="1" applyFill="1" applyBorder="1" applyAlignment="1">
      <x:alignment horizontal="left" vertical="center" wrapText="1"/>
    </x:xf>
    <x:xf numFmtId="0" fontId="13" fillId="15" borderId="0" xfId="0" applyNumberFormat="1" applyFont="1" applyFill="1" applyBorder="1" applyAlignment="1">
      <x:alignment horizontal="center" vertical="center"/>
    </x:xf>
    <x:xf numFmtId="0" fontId="8" fillId="19" xfId="0" applyNumberFormat="1" applyFont="1" applyFill="1" applyBorder="0" applyAlignment="1">
      <x:alignment vertical="center"/>
    </x:xf>
    <x:xf numFmtId="0" fontId="8" fillId="19" xfId="0" applyNumberFormat="1" applyFont="1" applyFill="1" applyBorder="0" applyAlignment="1">
      <x:alignment vertical="center" wrapText="1"/>
    </x:xf>
    <x:xf numFmtId="200" fontId="8" fillId="19" xfId="0" applyNumberFormat="1" applyFont="1" applyFill="1" applyBorder="0" applyAlignment="1">
      <x:alignment vertical="center" wrapText="1"/>
    </x:xf>
    <x:xf numFmtId="0" fontId="14" fillId="13" borderId="0" xfId="0" applyNumberFormat="1" applyFont="1" applyFill="1" applyBorder="1" applyAlignment="1">
      <x:alignment horizontal="left" vertical="center"/>
    </x:xf>
    <x:xf numFmtId="0" fontId="8" fillId="20" xfId="0" applyNumberFormat="1" applyFont="1" applyFill="1" applyBorder="0" applyAlignment="1">
      <x:alignment vertical="center" wrapText="1"/>
    </x:xf>
    <x:xf numFmtId="200" fontId="8" fillId="20" xfId="0" applyNumberFormat="1" applyFont="1" applyFill="1" applyBorder="0" applyAlignment="1">
      <x:alignment vertical="center" wrapText="1"/>
    </x:xf>
    <x:xf numFmtId="0" fontId="8" fillId="21" xfId="0" applyNumberFormat="1" applyFont="1" applyFill="1" applyBorder="0" applyAlignment="1">
      <x:alignment vertical="center" wrapText="1"/>
    </x:xf>
    <x:xf numFmtId="0" fontId="8" fillId="22" xfId="0" applyNumberFormat="1" applyFont="1" applyFill="1" applyBorder="0" applyAlignment="1">
      <x:alignment vertical="center" wrapText="1"/>
    </x:xf>
    <x:xf numFmtId="200" fontId="8" fillId="22" xfId="0" applyNumberFormat="1" applyFont="1" applyFill="1" applyBorder="0" applyAlignment="1">
      <x:alignment vertical="center" wrapText="1"/>
    </x:xf>
    <x:xf numFmtId="200" fontId="8" fillId="21" xfId="0" applyNumberFormat="1" applyFont="1" applyFill="1" applyBorder="0" applyAlignment="1">
      <x:alignment vertical="center" wrapText="1"/>
    </x:xf>
    <x:xf numFmtId="0" fontId="13" fillId="16" borderId="0"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wrapText="1"/>
    </x:xf>
    <x:xf numFmtId="0" fontId="8" fillId="2" borderId="0" xfId="0" applyNumberFormat="1" applyFont="1" applyFill="1" applyBorder="1"/>
    <x:xf numFmtId="0" fontId="9" fillId="2" borderId="0" xfId="0" applyNumberFormat="1" applyFont="1" applyFill="1" applyBorder="1" applyAlignment="1">
      <x:alignment horizontal="center" vertical="center" wrapText="1"/>
    </x:xf>
    <x:xf numFmtId="0" fontId="8" fillId="2" borderId="0" xfId="0" applyNumberFormat="1" applyFont="1" applyFill="1" applyBorder="1" applyAlignment="1">
      <x:alignment vertical="center"/>
    </x:xf>
    <x:xf numFmtId="0" fontId="9" fillId="3" borderId="0" xfId="0" applyNumberFormat="1" applyFont="1" applyFill="1" applyBorder="1" applyAlignment="1">
      <x:alignment horizontal="center" vertical="center" wrapText="1"/>
    </x:xf>
    <x:xf numFmtId="0" fontId="8" fillId="3" borderId="0" xfId="0" applyNumberFormat="1" applyFont="1" applyFill="1" applyBorder="1" applyAlignment="1">
      <x:alignment vertical="center"/>
    </x:xf>
    <x:xf numFmtId="0" fontId="10" fillId="3" borderId="0" xfId="0" applyNumberFormat="1" applyFont="1" applyFill="1" applyBorder="1" applyAlignment="1">
      <x:alignment horizontal="center" vertical="center" wrapText="1"/>
    </x:xf>
    <x:xf numFmtId="0" fontId="10" fillId="3" borderId="0" xfId="0" applyNumberFormat="1" applyFont="1" applyFill="1" applyBorder="1" applyAlignment="1">
      <x:alignment vertical="center"/>
    </x:xf>
    <x:xf numFmtId="0" fontId="10" fillId="3" borderId="0" xfId="0" applyNumberFormat="1" applyFont="1" applyFill="1" applyBorder="1" applyAlignment="1">
      <x:alignment horizontal="center" vertical="center"/>
    </x:xf>
    <x:xf numFmtId="0" fontId="8"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wrapText="1"/>
    </x:xf>
    <x:xf numFmtId="0" fontId="11" fillId="4" borderId="0" xfId="0" applyNumberFormat="1" applyFont="1" applyFill="1" applyBorder="1" applyAlignment="1">
      <x:alignment vertical="center"/>
    </x:xf>
    <x:xf numFmtId="0" fontId="12" fillId="4" borderId="0" xfId="0" applyNumberFormat="1" applyFont="1" applyFill="1" applyBorder="1" applyAlignment="1">
      <x:alignment horizontal="center" vertical="center" wrapText="1"/>
    </x:xf>
    <x:xf numFmtId="0" fontId="11" fillId="4" borderId="0" xfId="0" applyNumberFormat="1" applyFont="1" applyFill="1" applyBorder="1" applyAlignment="1">
      <x:alignment vertical="center" wrapText="1"/>
    </x:xf>
    <x:xf numFmtId="0" fontId="11" fillId="4" borderId="0" xfId="0" applyNumberFormat="1" applyFont="1" applyFill="1" applyBorder="1" applyAlignment="1">
      <x:alignment horizontal="center" vertical="center" wrapText="1"/>
    </x:xf>
    <x:xf numFmtId="0" fontId="8" fillId="5" borderId="0" xfId="0" applyNumberFormat="1" applyFont="1" applyFill="1" applyBorder="1" applyAlignment="1">
      <x:alignment vertical="center"/>
    </x:xf>
    <x:xf numFmtId="0" fontId="13" fillId="5" borderId="0" xfId="0" applyNumberFormat="1" applyFont="1" applyFill="1" applyBorder="1" applyAlignment="1">
      <x:alignment vertical="center"/>
    </x:xf>
    <x:xf numFmtId="0" fontId="13" fillId="5" borderId="0" xfId="0" applyNumberFormat="1" applyFont="1" applyFill="1" applyBorder="1" applyAlignment="1">
      <x:alignment vertical="center" wrapText="1"/>
    </x:xf>
    <x:xf numFmtId="0" fontId="13" fillId="5" borderId="0" xfId="0" applyNumberFormat="1" applyFont="1" applyFill="1" applyBorder="1" applyAlignment="1">
      <x:alignment horizontal="center" vertical="center" wrapText="1"/>
    </x:xf>
    <x:xf numFmtId="0" fontId="8" fillId="8" borderId="0" xfId="0" applyNumberFormat="1" applyFont="1" applyFill="1" applyBorder="1" applyAlignment="1">
      <x:alignment vertical="center"/>
    </x:xf>
    <x:xf numFmtId="0" fontId="13" fillId="8" borderId="0" xfId="0" applyNumberFormat="1" applyFont="1" applyFill="1" applyBorder="1" applyAlignment="1">
      <x:alignment vertical="center"/>
    </x:xf>
    <x:xf numFmtId="0" fontId="13" fillId="8" borderId="0" xfId="0" applyNumberFormat="1" applyFont="1" applyFill="1" applyBorder="1" applyAlignment="1">
      <x:alignment vertical="center" wrapText="1"/>
    </x:xf>
    <x:xf numFmtId="0" fontId="13" fillId="8" borderId="0" xfId="0" applyNumberFormat="1" applyFont="1" applyFill="1" applyBorder="1" applyAlignment="1">
      <x:alignment horizontal="center" vertical="center" wrapText="1"/>
    </x:xf>
    <x:xf numFmtId="0" fontId="8" fillId="6" borderId="0" xfId="0" applyNumberFormat="1" applyFont="1" applyFill="1" applyBorder="1" applyAlignment="1">
      <x:alignment vertical="center"/>
    </x:xf>
    <x:xf numFmtId="0" fontId="13" fillId="6" borderId="0" xfId="0" applyNumberFormat="1" applyFont="1" applyFill="1" applyBorder="1" applyAlignment="1">
      <x:alignment vertical="center"/>
    </x:xf>
    <x:xf numFmtId="0" fontId="13" fillId="6" borderId="0" xfId="0" applyNumberFormat="1" applyFont="1" applyFill="1" applyBorder="1" applyAlignment="1">
      <x:alignment vertical="center" wrapText="1"/>
    </x:xf>
    <x:xf numFmtId="0" fontId="13" fillId="6" borderId="0" xfId="0" applyNumberFormat="1" applyFont="1" applyFill="1" applyBorder="1" applyAlignment="1">
      <x:alignment horizontal="center" vertical="center" wrapText="1"/>
    </x:xf>
    <x:xf numFmtId="0" fontId="8" fillId="7" borderId="0" xfId="0" applyNumberFormat="1" applyFont="1" applyFill="1" applyBorder="1" applyAlignment="1">
      <x:alignment vertical="center"/>
    </x:xf>
    <x:xf numFmtId="0" fontId="13" fillId="7" borderId="0" xfId="0" applyNumberFormat="1" applyFont="1" applyFill="1" applyBorder="1" applyAlignment="1">
      <x:alignment vertical="center"/>
    </x:xf>
    <x:xf numFmtId="0" fontId="13" fillId="7" borderId="0" xfId="0" applyNumberFormat="1" applyFont="1" applyFill="1" applyBorder="1" applyAlignment="1">
      <x:alignment vertical="center" wrapText="1"/>
    </x:xf>
    <x:xf numFmtId="0" fontId="13" fillId="7" borderId="0" xfId="0" applyNumberFormat="1" applyFont="1" applyFill="1" applyBorder="1" applyAlignment="1">
      <x:alignment horizontal="center" vertical="center" wrapText="1"/>
    </x:xf>
    <x:xf numFmtId="0" fontId="14" fillId="3" borderId="0" xfId="0" applyNumberFormat="1" applyFont="1" applyFill="1" applyBorder="1" applyAlignment="1">
      <x:alignment vertical="center"/>
    </x:xf>
    <x:xf numFmtId="0" fontId="14" fillId="3" borderId="0" xfId="0" applyNumberFormat="1" applyFont="1" applyFill="1" applyBorder="1" applyAlignment="1">
      <x:alignment horizontal="center" vertical="center"/>
    </x:xf>
    <x:xf numFmtId="0" fontId="8" fillId="9" borderId="0" xfId="0" applyNumberFormat="1" applyFont="1" applyFill="1" applyBorder="1" applyAlignment="1">
      <x:alignment vertical="center"/>
    </x:xf>
    <x:xf numFmtId="0" fontId="8" fillId="9" borderId="0" xfId="0" applyNumberFormat="1" applyFont="1" applyFill="1" applyBorder="1" applyAlignment="1">
      <x:alignment vertical="center" wrapText="1"/>
    </x:xf>
    <x:xf numFmtId="0" fontId="8" fillId="9" borderId="0" xfId="0" applyNumberFormat="1" applyFont="1" applyFill="1" applyBorder="1" applyAlignment="1">
      <x:alignment horizontal="left" vertical="center" wrapText="1"/>
    </x:xf>
    <x:xf numFmtId="0" fontId="13" fillId="5" borderId="0" xfId="0" applyNumberFormat="1" applyFont="1" applyFill="1" applyBorder="1" applyAlignment="1">
      <x:alignment horizontal="center" vertical="center"/>
    </x:xf>
    <x:xf numFmtId="0" fontId="8" fillId="9" xfId="0" applyNumberFormat="1" applyFont="1" applyFill="1" applyBorder="0" applyAlignment="1">
      <x:alignment vertical="center"/>
    </x:xf>
    <x:xf numFmtId="0" fontId="8" fillId="9" xfId="0" applyNumberFormat="1" applyFont="1" applyFill="1" applyBorder="0" applyAlignment="1">
      <x:alignment vertical="center" wrapText="1"/>
    </x:xf>
    <x:xf numFmtId="200" fontId="8" fillId="9" xfId="0" applyNumberFormat="1" applyFont="1" applyFill="1" applyBorder="0" applyAlignment="1">
      <x:alignment vertical="center" wrapText="1"/>
    </x:xf>
    <x:xf numFmtId="0" fontId="14" fillId="3" borderId="0" xfId="0" applyNumberFormat="1" applyFont="1" applyFill="1" applyBorder="1" applyAlignment="1">
      <x:alignment horizontal="left" vertical="center"/>
    </x:xf>
    <x:xf numFmtId="0" fontId="13" fillId="8" borderId="0" xfId="0" applyNumberFormat="1" applyFont="1" applyFill="1" applyBorder="1" applyAlignment="1">
      <x:alignment horizontal="center" vertical="center"/>
    </x:xf>
    <x:xf numFmtId="0" fontId="1" fillId="23" borderId="0" xfId="0" applyNumberFormat="1" applyFont="1" applyFill="1" applyBorder="1"/>
    <x:xf numFmtId="0" fontId="0" fillId="23" borderId="0" xfId="0" applyNumberFormat="1" applyFont="1" applyFill="1" applyBorder="1"/>
    <x:xf numFmtId="0" fontId="2" fillId="23" borderId="0" xfId="0" applyNumberFormat="1" applyFont="1" applyFill="1" applyBorder="1" applyAlignment="1">
      <x:alignment horizontal="center" vertical="center" wrapText="1"/>
    </x:xf>
    <x:xf numFmtId="0" fontId="3" fillId="23" borderId="0" xfId="0" applyNumberFormat="1" applyFont="1" applyFill="1" applyBorder="1" applyAlignment="1">
      <x:alignment horizontal="center" vertical="center" wrapText="1"/>
    </x:xf>
    <x:xf numFmtId="0" fontId="8" fillId="23" borderId="0" xfId="0" applyNumberFormat="1" applyFont="1" applyFill="1" applyBorder="1"/>
    <x:xf numFmtId="0" fontId="9" fillId="23" borderId="0" xfId="0" applyNumberFormat="1" applyFont="1" applyFill="1" applyBorder="1" applyAlignment="1">
      <x:alignment horizontal="center" vertical="center" wrapText="1"/>
    </x:xf>
    <x:xf numFmtId="0" fontId="9" fillId="24" borderId="0" xfId="0" applyNumberFormat="1" applyFont="1" applyFill="1" applyBorder="1" applyAlignment="1">
      <x:alignment horizontal="center" vertical="center" wrapText="1"/>
    </x:xf>
    <x:xf numFmtId="0" fontId="8" fillId="24" borderId="0" xfId="0" applyNumberFormat="1" applyFont="1" applyFill="1" applyBorder="1"/>
    <x:xf numFmtId="0" fontId="15" fillId="24" borderId="0" xfId="0" applyNumberFormat="1" applyFont="1" applyFill="1" applyBorder="1" applyAlignment="1">
      <x:alignment horizontal="center" vertical="center" wrapText="1"/>
    </x:xf>
    <x:xf numFmtId="0" fontId="15" fillId="24" borderId="0" xfId="0" applyNumberFormat="1" applyFont="1" applyFill="1" applyBorder="1"/>
    <x:xf numFmtId="0" fontId="15" fillId="24" borderId="0" xfId="0" applyNumberFormat="1" applyFont="1" applyFill="1" applyBorder="1" applyAlignment="1">
      <x:alignment horizontal="center"/>
    </x:xf>
    <x:xf numFmtId="0" fontId="15" fillId="24" borderId="0" xfId="0" applyNumberFormat="1" applyFont="1" applyFill="1" applyBorder="1" applyAlignment="1">
      <x:alignment horizontal="center" vertical="center"/>
    </x:xf>
    <x:xf numFmtId="0" fontId="8" fillId="25" borderId="0" xfId="0" applyNumberFormat="1" applyFont="1" applyFill="1" applyBorder="1"/>
    <x:xf numFmtId="0" fontId="9" fillId="25" borderId="0" xfId="0" applyNumberFormat="1" applyFont="1" applyFill="1" applyBorder="1" applyAlignment="1">
      <x:alignment horizontal="center" vertical="center" wrapText="1"/>
    </x:xf>
    <x:xf numFmtId="0" fontId="16" fillId="25" borderId="0" xfId="0" applyNumberFormat="1" applyFont="1" applyFill="1" applyBorder="1"/>
    <x:xf numFmtId="0" fontId="16" fillId="25" borderId="0" xfId="0" applyNumberFormat="1" applyFont="1" applyFill="1" applyBorder="1" applyAlignment="1">
      <x:alignment horizontal="center" vertical="center" wrapText="1"/>
    </x:xf>
    <x:xf numFmtId="0" fontId="16" fillId="25" borderId="0" xfId="0" applyNumberFormat="1" applyFont="1" applyFill="1" applyBorder="1" applyAlignment="1">
      <x:alignment horizontal="center"/>
    </x:xf>
    <x:xf numFmtId="0" fontId="16" fillId="25" borderId="0" xfId="0" applyNumberFormat="1" applyFont="1" applyFill="1" applyBorder="1" applyAlignment="1">
      <x:alignment horizontal="center" vertical="center"/>
    </x:xf>
    <x:xf numFmtId="0" fontId="13" fillId="24" borderId="0" xfId="0" applyNumberFormat="1" applyFont="1" applyFill="1" applyBorder="1"/>
    <x:xf numFmtId="0" fontId="13" fillId="24" borderId="0" xfId="0" applyNumberFormat="1" applyFont="1" applyFill="1" applyBorder="1" applyAlignment="1">
      <x:alignment horizontal="center"/>
    </x:xf>
    <x:xf numFmtId="0" fontId="13" fillId="24" borderId="0" xfId="0" applyNumberFormat="1" applyFont="1" applyFill="1" applyBorder="1" applyAlignment="1">
      <x:alignment horizontal="center" vertical="center"/>
    </x:xf>
    <x:xf numFmtId="0" fontId="8" fillId="26" borderId="0" xfId="0" applyNumberFormat="1" applyFont="1" applyFill="1" applyBorder="1"/>
    <x:xf numFmtId="0" fontId="13" fillId="26" borderId="0" xfId="0" applyNumberFormat="1" applyFont="1" applyFill="1" applyBorder="1"/>
    <x:xf numFmtId="0" fontId="13" fillId="26" borderId="0" xfId="0" applyNumberFormat="1" applyFont="1" applyFill="1" applyBorder="1" applyAlignment="1">
      <x:alignment horizontal="center"/>
    </x:xf>
    <x:xf numFmtId="0" fontId="13" fillId="26" borderId="0" xfId="0" applyNumberFormat="1" applyFont="1" applyFill="1" applyBorder="1" applyAlignment="1">
      <x:alignment horizontal="center" vertical="center"/>
    </x:xf>
    <x:xf numFmtId="0" fontId="8" fillId="27" borderId="0" xfId="0" applyNumberFormat="1" applyFont="1" applyFill="1" applyBorder="1"/>
    <x:xf numFmtId="0" fontId="13" fillId="27" borderId="0" xfId="0" applyNumberFormat="1" applyFont="1" applyFill="1" applyBorder="1"/>
    <x:xf numFmtId="0" fontId="13" fillId="27" borderId="0" xfId="0" applyNumberFormat="1" applyFont="1" applyFill="1" applyBorder="1" applyAlignment="1">
      <x:alignment horizontal="center"/>
    </x:xf>
    <x:xf numFmtId="0" fontId="13" fillId="27" borderId="0" xfId="0" applyNumberFormat="1" applyFont="1" applyFill="1" applyBorder="1" applyAlignment="1">
      <x:alignment horizontal="center" vertical="center"/>
    </x:xf>
    <x:xf numFmtId="0" fontId="14" fillId="24" borderId="0" xfId="0" applyNumberFormat="1" applyFont="1" applyFill="1" applyBorder="1"/>
    <x:xf numFmtId="0" fontId="14" fillId="24" borderId="0" xfId="0" applyNumberFormat="1" applyFont="1" applyFill="1" applyBorder="1" applyAlignment="1">
      <x:alignment horizontal="center"/>
    </x:xf>
    <x:xf numFmtId="0" fontId="14" fillId="24" borderId="0" xfId="0" applyNumberFormat="1" applyFont="1" applyFill="1" applyBorder="1" applyAlignment="1">
      <x:alignment horizontal="center" vertical="center"/>
    </x:xf>
    <x:xf numFmtId="0" fontId="14" fillId="24" borderId="0" xfId="0" applyNumberFormat="1" applyFont="1" applyFill="1" applyBorder="1" applyAlignment="1">
      <x:alignment horizontal="center" vertical="center" wrapText="1"/>
    </x:xf>
    <x:xf numFmtId="0" fontId="8" fillId="28" borderId="0" xfId="0" applyNumberFormat="1" applyFont="1" applyFill="1" applyBorder="1"/>
    <x:xf numFmtId="0" fontId="13" fillId="28" borderId="0" xfId="0" applyNumberFormat="1" applyFont="1" applyFill="1" applyBorder="1"/>
    <x:xf numFmtId="0" fontId="13" fillId="28" borderId="0" xfId="0" applyNumberFormat="1" applyFont="1" applyFill="1" applyBorder="1" applyAlignment="1">
      <x:alignment horizontal="center"/>
    </x:xf>
    <x:xf numFmtId="0" fontId="13" fillId="28" borderId="0" xfId="0" applyNumberFormat="1" applyFont="1" applyFill="1" applyBorder="1" applyAlignment="1">
      <x:alignment horizontal="center" vertical="center"/>
    </x:xf>
    <x:xf numFmtId="0" fontId="13" fillId="28" borderId="2" xfId="0" applyNumberFormat="1" applyFont="1" applyFill="1" applyBorder="1" applyAlignment="1">
      <x:alignment horizontal="center" vertical="center"/>
    </x:xf>
    <x:xf numFmtId="0" fontId="8" fillId="29" borderId="0" xfId="0" applyNumberFormat="1" applyFont="1" applyFill="1" applyBorder="1"/>
    <x:xf numFmtId="0" fontId="8" fillId="29" borderId="3" xfId="0" applyNumberFormat="1" applyFont="1" applyFill="1" applyBorder="1"/>
    <x:xf numFmtId="0" fontId="9" fillId="29" borderId="3" xfId="0" applyNumberFormat="1" applyFont="1" applyFill="1" applyBorder="1"/>
    <x:xf numFmtId="0" fontId="8" fillId="29" borderId="3" xfId="0" applyNumberFormat="1" applyFont="1" applyFill="1" applyBorder="1" applyAlignment="1">
      <x:alignment horizontal="center"/>
    </x:xf>
    <x:xf numFmtId="0" fontId="14" fillId="28" borderId="0" xfId="0" applyNumberFormat="1" applyFont="1" applyFill="1" applyBorder="1"/>
    <x:xf numFmtId="0" fontId="14" fillId="28" borderId="0" xfId="0" applyNumberFormat="1" applyFont="1" applyFill="1" applyBorder="1" applyAlignment="1">
      <x:alignment horizontal="center"/>
    </x:xf>
    <x:xf numFmtId="0" fontId="14" fillId="28" borderId="0" xfId="0" applyNumberFormat="1" applyFont="1" applyFill="1" applyBorder="1" applyAlignment="1">
      <x:alignment horizontal="center" vertical="center"/>
    </x:xf>
    <x:xf numFmtId="0" fontId="14" fillId="28" borderId="0" xfId="0" applyNumberFormat="1" applyFont="1" applyFill="1" applyBorder="1" applyAlignment="1">
      <x:alignment horizontal="center" vertical="center" wrapText="1"/>
    </x:xf>
    <x:xf numFmtId="0" fontId="8" fillId="30" borderId="3" xfId="0" applyNumberFormat="1" applyFont="1" applyFill="1" applyBorder="1"/>
    <x:xf numFmtId="202" fontId="8" fillId="30" borderId="3" xfId="0" applyNumberFormat="1" applyFont="1" applyFill="1" applyBorder="1"/>
    <x:xf numFmtId="0" fontId="14" fillId="27" borderId="0" xfId="0" applyNumberFormat="1" applyFont="1" applyFill="1" applyBorder="1"/>
    <x:xf numFmtId="0" fontId="14" fillId="27" borderId="0" xfId="0" applyNumberFormat="1" applyFont="1" applyFill="1" applyBorder="1" applyAlignment="1">
      <x:alignment horizontal="center"/>
    </x:xf>
    <x:xf numFmtId="0" fontId="14" fillId="27" borderId="0" xfId="0" applyNumberFormat="1" applyFont="1" applyFill="1" applyBorder="1" applyAlignment="1">
      <x:alignment horizontal="center" vertical="center"/>
    </x:xf>
    <x:xf numFmtId="0" fontId="14" fillId="27" borderId="0" xfId="0" applyNumberFormat="1" applyFont="1" applyFill="1" applyBorder="1" applyAlignment="1">
      <x:alignment horizontal="center" vertical="center" wrapText="1"/>
    </x:xf>
    <x:xf numFmtId="0" fontId="8" fillId="31" borderId="0" xfId="0" applyNumberFormat="1" applyFont="1" applyFill="1" applyBorder="1"/>
    <x:xf numFmtId="0" fontId="14" fillId="31" borderId="0" xfId="0" applyNumberFormat="1" applyFont="1" applyFill="1" applyBorder="1"/>
    <x:xf numFmtId="0" fontId="14" fillId="31" borderId="0" xfId="0" applyNumberFormat="1" applyFont="1" applyFill="1" applyBorder="1" applyAlignment="1">
      <x:alignment horizontal="center"/>
    </x:xf>
    <x:xf numFmtId="0" fontId="14" fillId="31" borderId="0" xfId="0" applyNumberFormat="1" applyFont="1" applyFill="1" applyBorder="1" applyAlignment="1">
      <x:alignment horizontal="center" vertical="center"/>
    </x:xf>
    <x:xf numFmtId="0" fontId="14" fillId="31" borderId="0" xfId="0" applyNumberFormat="1" applyFont="1" applyFill="1" applyBorder="1" applyAlignment="1">
      <x:alignment horizontal="center" vertical="center" wrapText="1"/>
    </x:xf>
    <x:xf numFmtId="0" fontId="14" fillId="26" borderId="0" xfId="0" applyNumberFormat="1" applyFont="1" applyFill="1" applyBorder="1"/>
    <x:xf numFmtId="0" fontId="14" fillId="26" borderId="0" xfId="0" applyNumberFormat="1" applyFont="1" applyFill="1" applyBorder="1" applyAlignment="1">
      <x:alignment horizontal="center"/>
    </x:xf>
    <x:xf numFmtId="0" fontId="14" fillId="26" borderId="0" xfId="0" applyNumberFormat="1" applyFont="1" applyFill="1" applyBorder="1" applyAlignment="1">
      <x:alignment horizontal="center" vertical="center"/>
    </x:xf>
    <x:xf numFmtId="0" fontId="14" fillId="26" borderId="0" xfId="0" applyNumberFormat="1" applyFont="1" applyFill="1" applyBorder="1" applyAlignment="1">
      <x:alignment horizontal="center" vertical="center" wrapText="1"/>
    </x:xf>
    <x:xf numFmtId="0" fontId="8" fillId="32" borderId="3" xfId="0" applyNumberFormat="1" applyFont="1" applyFill="1" applyBorder="1"/>
    <x:xf numFmtId="202" fontId="8" fillId="32" borderId="3" xfId="0" applyNumberFormat="1" applyFont="1" applyFill="1" applyBorder="1"/>
    <x:xf numFmtId="0" fontId="8" fillId="29" borderId="0" xfId="0" applyNumberFormat="1" applyFont="1" applyFill="1" applyBorder="1" applyAlignment="1">
      <x:alignment wrapText="1"/>
    </x:xf>
    <x:xf numFmtId="0" fontId="8" fillId="29" borderId="0" xfId="0" applyNumberFormat="1" applyFont="1" applyFill="1" applyBorder="1" applyAlignment="1">
      <x:alignment vertical="center" wrapText="1"/>
    </x:xf>
    <x:xf numFmtId="0" fontId="8" fillId="29" borderId="4" xfId="0" applyNumberFormat="1" applyFont="1" applyFill="1" applyBorder="1" applyAlignment="1">
      <x:alignment vertical="center" wrapText="1"/>
    </x:xf>
    <x:xf numFmtId="0" fontId="8" fillId="29" borderId="5" xfId="0" applyNumberFormat="1" applyFont="1" applyFill="1" applyBorder="1" applyAlignment="1">
      <x:alignment vertical="center" wrapText="1"/>
    </x:xf>
    <x:xf numFmtId="0" fontId="8" fillId="29" borderId="6" xfId="0" applyNumberFormat="1" applyFont="1" applyFill="1" applyBorder="1" applyAlignment="1">
      <x:alignment vertical="center" wrapText="1"/>
    </x:xf>
    <x:xf numFmtId="0" fontId="8" fillId="29" borderId="7" xfId="0" applyNumberFormat="1" applyFont="1" applyFill="1" applyBorder="1" applyAlignment="1">
      <x:alignment vertical="center" wrapText="1"/>
    </x:xf>
    <x:xf numFmtId="0" fontId="8" fillId="29" xfId="0" applyNumberFormat="1" applyFont="1" applyFill="1" applyBorder="0" applyAlignment="1">
      <x:alignment vertical="center" wrapText="1"/>
    </x:xf>
    <x:xf numFmtId="0" fontId="8" fillId="29" borderId="8" xfId="0" applyNumberFormat="1" applyFont="1" applyFill="1" applyBorder="1" applyAlignment="1">
      <x:alignment vertical="center" wrapText="1"/>
    </x:xf>
    <x:xf numFmtId="0" fontId="8" fillId="29" borderId="9" xfId="0" applyNumberFormat="1" applyFont="1" applyFill="1" applyBorder="1" applyAlignment="1">
      <x:alignment vertical="center" wrapText="1"/>
    </x:xf>
    <x:xf numFmtId="0" fontId="8" fillId="29" borderId="10" xfId="0" applyNumberFormat="1" applyFont="1" applyFill="1" applyBorder="1" applyAlignment="1">
      <x:alignment vertical="center" wrapText="1"/>
    </x:xf>
    <x:xf numFmtId="0" fontId="8" fillId="29" borderId="11" xfId="0" applyNumberFormat="1" applyFont="1" applyFill="1" applyBorder="1" applyAlignment="1">
      <x:alignment vertical="center" wrapText="1"/>
    </x:xf>
    <x:xf numFmtId="0" fontId="8" fillId="23" borderId="0" xfId="0" applyNumberFormat="1" applyFont="1" applyFill="1" applyBorder="1" applyAlignment="1">
      <x:alignment vertical="center"/>
    </x:xf>
    <x:xf numFmtId="0" fontId="9" fillId="29" borderId="3" xfId="0" applyNumberFormat="1" applyFont="1" applyFill="1" applyBorder="1" applyAlignment="1">
      <x:alignment vertical="center"/>
    </x:xf>
    <x:xf numFmtId="0" fontId="8" fillId="29" borderId="3" xfId="0" applyNumberFormat="1" applyFont="1" applyFill="1" applyBorder="1" applyAlignment="1">
      <x:alignment horizontal="center" vertical="center"/>
    </x:xf>
    <x:xf numFmtId="0" fontId="8" fillId="29" borderId="3" xfId="0" applyNumberFormat="1" applyFont="1" applyFill="1" applyBorder="1" applyAlignment="1">
      <x:alignment vertical="center"/>
    </x:xf>
    <x:xf numFmtId="202" fontId="8" fillId="30" borderId="3" xfId="0" applyNumberFormat="1" applyFont="1" applyFill="1" applyBorder="1" applyAlignment="1">
      <x:alignment vertical="center"/>
    </x:xf>
    <x:xf numFmtId="202" fontId="8" fillId="32" borderId="3" xfId="0" applyNumberFormat="1" applyFont="1" applyFill="1" applyBorder="1" applyAlignment="1">
      <x:alignment vertical="center"/>
    </x:xf>
    <x:xf numFmtId="0" fontId="8" fillId="23" borderId="0" xfId="0" applyNumberFormat="1" applyFont="1" applyFill="1" applyBorder="1" applyAlignment="1">
      <x:alignment vertical="center" wrapText="1"/>
    </x:xf>
    <x:xf numFmtId="0" fontId="13" fillId="24" borderId="0" xfId="0" applyNumberFormat="1" applyFont="1" applyFill="1" applyBorder="1" applyAlignment="1">
      <x:alignment horizontal="center" vertical="center" wrapText="1"/>
    </x:xf>
    <x:xf numFmtId="0" fontId="13" fillId="26" borderId="0" xfId="0" applyNumberFormat="1" applyFont="1" applyFill="1" applyBorder="1" applyAlignment="1">
      <x:alignment horizontal="center" vertical="center" wrapText="1"/>
    </x:xf>
    <x:xf numFmtId="0" fontId="13" fillId="27" borderId="0" xfId="0" applyNumberFormat="1" applyFont="1" applyFill="1" applyBorder="1" applyAlignment="1">
      <x:alignment horizontal="center" vertical="center" wrapText="1"/>
    </x:xf>
    <x:xf numFmtId="0" fontId="13" fillId="28" borderId="2" xfId="0" applyNumberFormat="1" applyFont="1" applyFill="1" applyBorder="1" applyAlignment="1">
      <x:alignment horizontal="center" vertical="center" wrapText="1"/>
    </x:xf>
    <x:xf numFmtId="0" fontId="9" fillId="29" borderId="3" xfId="0" applyNumberFormat="1" applyFont="1" applyFill="1" applyBorder="1" applyAlignment="1">
      <x:alignment vertical="center" wrapText="1"/>
    </x:xf>
    <x:xf numFmtId="0" fontId="8" fillId="29" borderId="3" xfId="0" applyNumberFormat="1" applyFont="1" applyFill="1" applyBorder="1" applyAlignment="1">
      <x:alignment horizontal="center" vertical="center" wrapText="1"/>
    </x:xf>
    <x:xf numFmtId="0" fontId="8" fillId="29" borderId="3" xfId="0" applyNumberFormat="1" applyFont="1" applyFill="1" applyBorder="1" applyAlignment="1">
      <x:alignment vertical="center" wrapText="1"/>
    </x:xf>
    <x:xf numFmtId="202" fontId="8" fillId="30" borderId="3" xfId="0" applyNumberFormat="1" applyFont="1" applyFill="1" applyBorder="1" applyAlignment="1">
      <x:alignment vertical="center" wrapText="1"/>
    </x:xf>
    <x:xf numFmtId="202" fontId="8" fillId="32" borderId="3" xfId="0" applyNumberFormat="1" applyFont="1" applyFill="1" applyBorder="1" applyAlignment="1">
      <x:alignment vertical="center" wrapText="1"/>
    </x:xf>
    <x:xf numFmtId="0" fontId="8" fillId="3" borderId="0" xfId="0" applyNumberFormat="1" applyFont="1" applyFill="1" applyBorder="1"/>
    <x:xf numFmtId="0" fontId="15" fillId="3" borderId="0" xfId="0" applyNumberFormat="1" applyFont="1" applyFill="1" applyBorder="1" applyAlignment="1">
      <x:alignment horizontal="center" vertical="center" wrapText="1"/>
    </x:xf>
    <x:xf numFmtId="0" fontId="15" fillId="3" borderId="0" xfId="0" applyNumberFormat="1" applyFont="1" applyFill="1" applyBorder="1"/>
    <x:xf numFmtId="0" fontId="15" fillId="3" borderId="0" xfId="0" applyNumberFormat="1" applyFont="1" applyFill="1" applyBorder="1" applyAlignment="1">
      <x:alignment horizontal="center"/>
    </x:xf>
    <x:xf numFmtId="0" fontId="15" fillId="3" borderId="0" xfId="0" applyNumberFormat="1" applyFont="1" applyFill="1" applyBorder="1" applyAlignment="1">
      <x:alignment horizontal="center" vertical="center"/>
    </x:xf>
    <x:xf numFmtId="0" fontId="8" fillId="4" borderId="0" xfId="0" applyNumberFormat="1" applyFont="1" applyFill="1" applyBorder="1"/>
    <x:xf numFmtId="0" fontId="11" fillId="4" borderId="0" xfId="0" applyNumberFormat="1" applyFont="1" applyFill="1" applyBorder="1"/>
    <x:xf numFmtId="0" fontId="11" fillId="4" borderId="0" xfId="0" applyNumberFormat="1" applyFont="1" applyFill="1" applyBorder="1" applyAlignment="1">
      <x:alignment horizontal="center"/>
    </x:xf>
    <x:xf numFmtId="0" fontId="11" fillId="4" borderId="0" xfId="0" applyNumberFormat="1" applyFont="1" applyFill="1" applyBorder="1" applyAlignment="1">
      <x:alignment horizontal="center" vertical="center"/>
    </x:xf>
    <x:xf numFmtId="0" fontId="13" fillId="3" borderId="0" xfId="0" applyNumberFormat="1" applyFont="1" applyFill="1" applyBorder="1"/>
    <x:xf numFmtId="0" fontId="13" fillId="3" borderId="0" xfId="0" applyNumberFormat="1" applyFont="1" applyFill="1" applyBorder="1" applyAlignment="1">
      <x:alignment horizontal="center"/>
    </x:xf>
    <x:xf numFmtId="0" fontId="13" fillId="3" borderId="0" xfId="0" applyNumberFormat="1" applyFont="1" applyFill="1" applyBorder="1" applyAlignment="1">
      <x:alignment horizontal="center" vertical="center"/>
    </x:xf>
    <x:xf numFmtId="0" fontId="8" fillId="8" borderId="0" xfId="0" applyNumberFormat="1" applyFont="1" applyFill="1" applyBorder="1"/>
    <x:xf numFmtId="0" fontId="13" fillId="8" borderId="0" xfId="0" applyNumberFormat="1" applyFont="1" applyFill="1" applyBorder="1"/>
    <x:xf numFmtId="0" fontId="13" fillId="8" borderId="0" xfId="0" applyNumberFormat="1" applyFont="1" applyFill="1" applyBorder="1" applyAlignment="1">
      <x:alignment horizontal="center"/>
    </x:xf>
    <x:xf numFmtId="0" fontId="8"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horizontal="center"/>
    </x:xf>
    <x:xf numFmtId="0" fontId="13" fillId="7" borderId="0" xfId="0" applyNumberFormat="1" applyFont="1" applyFill="1" applyBorder="1" applyAlignment="1">
      <x:alignment horizontal="center" vertical="center"/>
    </x:xf>
    <x:xf numFmtId="0" fontId="14" fillId="3" borderId="0" xfId="0" applyNumberFormat="1" applyFont="1" applyFill="1" applyBorder="1"/>
    <x:xf numFmtId="0" fontId="14" fillId="3" borderId="0" xfId="0" applyNumberFormat="1" applyFont="1" applyFill="1" applyBorder="1" applyAlignment="1">
      <x:alignment horizontal="center"/>
    </x:xf>
    <x:xf numFmtId="0" fontId="14" fillId="3" borderId="0" xfId="0" applyNumberFormat="1" applyFont="1" applyFill="1" applyBorder="1" applyAlignment="1">
      <x:alignment horizontal="center" vertical="center" wrapText="1"/>
    </x:xf>
    <x:xf numFmtId="0" fontId="8"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center"/>
    </x:xf>
    <x:xf numFmtId="0" fontId="13" fillId="5" borderId="2" xfId="0" applyNumberFormat="1" applyFont="1" applyFill="1" applyBorder="1" applyAlignment="1">
      <x:alignment horizontal="center" vertical="center"/>
    </x:xf>
    <x:xf numFmtId="0" fontId="8" fillId="9" borderId="0" xfId="0" applyNumberFormat="1" applyFont="1" applyFill="1" applyBorder="1"/>
    <x:xf numFmtId="0" fontId="8" fillId="9" borderId="3" xfId="0" applyNumberFormat="1" applyFont="1" applyFill="1" applyBorder="1"/>
    <x:xf numFmtId="0" fontId="9" fillId="9" borderId="3" xfId="0" applyNumberFormat="1" applyFont="1" applyFill="1" applyBorder="1"/>
    <x:xf numFmtId="0" fontId="8" fillId="9" borderId="3" xfId="0" applyNumberFormat="1" applyFont="1" applyFill="1" applyBorder="1" applyAlignment="1">
      <x:alignment horizontal="center"/>
    </x:xf>
    <x:xf numFmtId="0" fontId="14" fillId="5" borderId="0" xfId="0" applyNumberFormat="1" applyFont="1" applyFill="1" applyBorder="1"/>
    <x:xf numFmtId="0" fontId="14" fillId="5" borderId="0" xfId="0" applyNumberFormat="1" applyFont="1" applyFill="1" applyBorder="1" applyAlignment="1">
      <x:alignment horizont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wrapText="1"/>
    </x:xf>
    <x:xf numFmtId="0" fontId="14" fillId="7" borderId="0" xfId="0" applyNumberFormat="1" applyFont="1" applyFill="1" applyBorder="1"/>
    <x:xf numFmtId="0" fontId="14" fillId="7" borderId="0" xfId="0" applyNumberFormat="1" applyFont="1" applyFill="1" applyBorder="1" applyAlignment="1">
      <x:alignment horizontal="center"/>
    </x:xf>
    <x:xf numFmtId="0" fontId="14" fillId="7" borderId="0" xfId="0" applyNumberFormat="1" applyFont="1" applyFill="1" applyBorder="1" applyAlignment="1">
      <x:alignment horizontal="center" vertical="center"/>
    </x:xf>
    <x:xf numFmtId="0" fontId="14" fillId="7" borderId="0" xfId="0" applyNumberFormat="1" applyFont="1" applyFill="1" applyBorder="1" applyAlignment="1">
      <x:alignment horizontal="center" vertical="center" wrapText="1"/>
    </x:xf>
    <x:xf numFmtId="0" fontId="8" fillId="6" borderId="0" xfId="0" applyNumberFormat="1" applyFont="1" applyFill="1" applyBorder="1"/>
    <x:xf numFmtId="0" fontId="14" fillId="6" borderId="0" xfId="0" applyNumberFormat="1" applyFont="1" applyFill="1" applyBorder="1"/>
    <x:xf numFmtId="0" fontId="14" fillId="6" borderId="0" xfId="0" applyNumberFormat="1" applyFont="1" applyFill="1" applyBorder="1" applyAlignment="1">
      <x:alignment horizontal="center"/>
    </x:xf>
    <x:xf numFmtId="0" fontId="14" fillId="6" borderId="0" xfId="0" applyNumberFormat="1" applyFont="1" applyFill="1" applyBorder="1" applyAlignment="1">
      <x:alignment horizontal="center" vertical="center"/>
    </x:xf>
    <x:xf numFmtId="0" fontId="14" fillId="6" borderId="0" xfId="0" applyNumberFormat="1" applyFont="1" applyFill="1" applyBorder="1" applyAlignment="1">
      <x:alignment horizontal="center" vertical="center" wrapText="1"/>
    </x:xf>
    <x:xf numFmtId="0" fontId="14" fillId="8" borderId="0" xfId="0" applyNumberFormat="1" applyFont="1" applyFill="1" applyBorder="1"/>
    <x:xf numFmtId="0" fontId="14" fillId="8" borderId="0" xfId="0" applyNumberFormat="1" applyFont="1" applyFill="1" applyBorder="1" applyAlignment="1">
      <x:alignment horizontal="center"/>
    </x:xf>
    <x:xf numFmtId="0" fontId="14" fillId="8" borderId="0" xfId="0" applyNumberFormat="1" applyFont="1" applyFill="1" applyBorder="1" applyAlignment="1">
      <x:alignment horizontal="center" vertical="center"/>
    </x:xf>
    <x:xf numFmtId="0" fontId="14" fillId="8" borderId="0" xfId="0" applyNumberFormat="1" applyFont="1" applyFill="1" applyBorder="1" applyAlignment="1">
      <x:alignment horizontal="center" vertical="center" wrapText="1"/>
    </x:xf>
    <x:xf numFmtId="0" fontId="8" fillId="21" borderId="3" xfId="0" applyNumberFormat="1" applyFont="1" applyFill="1" applyBorder="1"/>
    <x:xf numFmtId="202" fontId="8" fillId="21" borderId="3" xfId="0" applyNumberFormat="1" applyFont="1" applyFill="1" applyBorder="1"/>
    <x:xf numFmtId="0" fontId="8" fillId="9" borderId="0" xfId="0" applyNumberFormat="1" applyFont="1" applyFill="1" applyBorder="1" applyAlignment="1">
      <x:alignment wrapText="1"/>
    </x:xf>
    <x:xf numFmtId="0" fontId="8" fillId="9" borderId="4" xfId="0" applyNumberFormat="1" applyFont="1" applyFill="1" applyBorder="1" applyAlignment="1">
      <x:alignment vertical="center" wrapText="1"/>
    </x:xf>
    <x:xf numFmtId="0" fontId="8" fillId="9" borderId="5" xfId="0" applyNumberFormat="1" applyFont="1" applyFill="1" applyBorder="1" applyAlignment="1">
      <x:alignment vertical="center" wrapText="1"/>
    </x:xf>
    <x:xf numFmtId="0" fontId="8" fillId="9" borderId="6" xfId="0" applyNumberFormat="1" applyFont="1" applyFill="1" applyBorder="1" applyAlignment="1">
      <x:alignment vertical="center" wrapText="1"/>
    </x:xf>
    <x:xf numFmtId="0" fontId="8" fillId="9" borderId="7" xfId="0" applyNumberFormat="1" applyFont="1" applyFill="1" applyBorder="1" applyAlignment="1">
      <x:alignment vertical="center" wrapText="1"/>
    </x:xf>
    <x:xf numFmtId="0" fontId="8" fillId="9" borderId="8" xfId="0" applyNumberFormat="1" applyFont="1" applyFill="1" applyBorder="1" applyAlignment="1">
      <x:alignment vertical="center" wrapText="1"/>
    </x:xf>
    <x:xf numFmtId="0" fontId="8" fillId="9" borderId="9" xfId="0" applyNumberFormat="1" applyFont="1" applyFill="1" applyBorder="1" applyAlignment="1">
      <x:alignment vertical="center" wrapText="1"/>
    </x:xf>
    <x:xf numFmtId="0" fontId="8" fillId="9" borderId="10" xfId="0" applyNumberFormat="1" applyFont="1" applyFill="1" applyBorder="1" applyAlignment="1">
      <x:alignment vertical="center" wrapText="1"/>
    </x:xf>
    <x:xf numFmtId="0" fontId="8" fillId="9" borderId="11" xfId="0" applyNumberFormat="1" applyFont="1" applyFill="1" applyBorder="1" applyAlignment="1">
      <x:alignment vertical="center" wrapText="1"/>
    </x:xf>
    <x:xf numFmtId="0" fontId="9" fillId="9" borderId="3" xfId="0" applyNumberFormat="1" applyFont="1" applyFill="1" applyBorder="1" applyAlignment="1">
      <x:alignment vertical="center"/>
    </x:xf>
    <x:xf numFmtId="0" fontId="8" fillId="9" borderId="3" xfId="0" applyNumberFormat="1" applyFont="1" applyFill="1" applyBorder="1" applyAlignment="1">
      <x:alignment horizontal="center" vertical="center"/>
    </x:xf>
    <x:xf numFmtId="0" fontId="8" fillId="9" borderId="3" xfId="0" applyNumberFormat="1" applyFont="1" applyFill="1" applyBorder="1" applyAlignment="1">
      <x:alignment vertical="center"/>
    </x:xf>
    <x:xf numFmtId="202" fontId="8" fillId="21" borderId="3" xfId="0" applyNumberFormat="1" applyFont="1" applyFill="1" applyBorder="1" applyAlignment="1">
      <x:alignment vertical="center"/>
    </x:xf>
    <x:xf numFmtId="0" fontId="8" fillId="2" borderId="0" xfId="0" applyNumberFormat="1" applyFont="1" applyFill="1" applyBorder="1" applyAlignment="1">
      <x:alignment vertical="center" wrapText="1"/>
    </x:xf>
    <x:xf numFmtId="0" fontId="13" fillId="3" borderId="0" xfId="0" applyNumberFormat="1" applyFont="1" applyFill="1" applyBorder="1" applyAlignment="1">
      <x:alignment horizontal="center" vertical="center" wrapText="1"/>
    </x:xf>
    <x:xf numFmtId="0" fontId="13" fillId="5" borderId="2" xfId="0" applyNumberFormat="1" applyFont="1" applyFill="1" applyBorder="1" applyAlignment="1">
      <x:alignment horizontal="center" vertical="center" wrapText="1"/>
    </x:xf>
    <x:xf numFmtId="0" fontId="9" fillId="9" borderId="3" xfId="0" applyNumberFormat="1" applyFont="1" applyFill="1" applyBorder="1" applyAlignment="1">
      <x:alignment vertical="center" wrapText="1"/>
    </x:xf>
    <x:xf numFmtId="0" fontId="8" fillId="9" borderId="3" xfId="0" applyNumberFormat="1" applyFont="1" applyFill="1" applyBorder="1" applyAlignment="1">
      <x:alignment horizontal="center" vertical="center" wrapText="1"/>
    </x:xf>
    <x:xf numFmtId="0" fontId="8" fillId="9" borderId="3" xfId="0" applyNumberFormat="1" applyFont="1" applyFill="1" applyBorder="1" applyAlignment="1">
      <x:alignment vertical="center" wrapText="1"/>
    </x:xf>
    <x:xf numFmtId="202" fontId="8" fillId="21" borderId="3" xfId="0" applyNumberFormat="1" applyFont="1" applyFill="1" applyBorder="1" applyAlignment="1">
      <x:alignment vertical="center" wrapText="1"/>
    </x:xf>
    <x:xf numFmtId="0" fontId="1" fillId="33" borderId="0" xfId="0" applyNumberFormat="1" applyFont="1" applyFill="1" applyBorder="1"/>
    <x:xf numFmtId="0" fontId="0" fillId="33" borderId="0" xfId="0" applyNumberFormat="1" applyFont="1" applyFill="1" applyBorder="1"/>
    <x:xf numFmtId="0" fontId="2" fillId="33" borderId="0" xfId="0" applyNumberFormat="1" applyFont="1" applyFill="1" applyBorder="1" applyAlignment="1">
      <x:alignment horizontal="center" vertical="center" wrapText="1"/>
    </x:xf>
    <x:xf numFmtId="0" fontId="3" fillId="33" borderId="0" xfId="0" applyNumberFormat="1" applyFont="1" applyFill="1" applyBorder="1" applyAlignment="1">
      <x:alignment horizontal="center" vertical="center" wrapText="1"/>
    </x:xf>
    <x:xf numFmtId="0" fontId="2" fillId="34" borderId="0" xfId="0" applyNumberFormat="1" applyFont="1" applyFill="1" applyBorder="1" applyAlignment="1">
      <x:alignment horizontal="center" vertical="center" wrapText="1"/>
    </x:xf>
    <x:xf numFmtId="0" fontId="1" fillId="34" borderId="0" xfId="0" applyNumberFormat="1" applyFont="1" applyFill="1" applyBorder="1"/>
    <x:xf numFmtId="0" fontId="2" fillId="34" borderId="0" xfId="0" applyNumberFormat="1" applyFont="1" applyFill="1" applyBorder="1"/>
    <x:xf numFmtId="0" fontId="2" fillId="34" borderId="0" xfId="0" applyNumberFormat="1" applyFont="1" applyFill="1" applyBorder="1" applyAlignment="1">
      <x:alignment horizontal="center"/>
    </x:xf>
    <x:xf numFmtId="0" fontId="2" fillId="34" borderId="0" xfId="0" applyNumberFormat="1" applyFont="1" applyFill="1" applyBorder="1" applyAlignment="1">
      <x:alignment horizontal="center" vertical="center"/>
    </x:xf>
    <x:xf numFmtId="0" fontId="2" fillId="34" borderId="12" xfId="0" applyNumberFormat="1" applyFont="1" applyFill="1" applyBorder="1" applyAlignment="1">
      <x:alignment horizontal="center" vertical="center" wrapText="1"/>
    </x:xf>
    <x:xf numFmtId="0" fontId="2" fillId="34" borderId="13" xfId="0" applyNumberFormat="1" applyFont="1" applyFill="1" applyBorder="1" applyAlignment="1">
      <x:alignment horizontal="center" vertical="center" wrapText="1"/>
    </x:xf>
    <x:xf numFmtId="0" fontId="2" fillId="34" borderId="14" xfId="0" applyNumberFormat="1" applyFont="1" applyFill="1" applyBorder="1" applyAlignment="1">
      <x:alignment horizontal="center" vertical="center" wrapText="1"/>
    </x:xf>
    <x:xf numFmtId="0" fontId="2" fillId="34" borderId="15" xfId="0" applyNumberFormat="1" applyFont="1" applyFill="1" applyBorder="1" applyAlignment="1">
      <x:alignment horizontal="center" vertical="center" wrapText="1"/>
    </x:xf>
    <x:xf numFmtId="0" fontId="2" fillId="34" borderId="16" xfId="0" applyNumberFormat="1" applyFont="1" applyFill="1" applyBorder="1" applyAlignment="1">
      <x:alignment horizontal="center" vertical="center" wrapText="1"/>
    </x:xf>
    <x:xf numFmtId="0" fontId="2" fillId="34" borderId="17" xfId="0" applyNumberFormat="1" applyFont="1" applyFill="1" applyBorder="1" applyAlignment="1">
      <x:alignment horizontal="center" vertical="center" wrapText="1"/>
    </x:xf>
    <x:xf numFmtId="0" fontId="1" fillId="35" borderId="0" xfId="0" applyNumberFormat="1" applyFont="1" applyFill="1" applyBorder="1"/>
    <x:xf numFmtId="0" fontId="3" fillId="35" borderId="0" xfId="0" applyNumberFormat="1" applyFont="1" applyFill="1" applyBorder="1" applyAlignment="1">
      <x:alignment horizontal="center" vertical="center" wrapText="1"/>
    </x:xf>
    <x:xf numFmtId="0" fontId="17" fillId="35" borderId="0" xfId="0" applyNumberFormat="1" applyFont="1" applyFill="1" applyBorder="1"/>
    <x:xf numFmtId="0" fontId="17" fillId="35" borderId="0" xfId="0" applyNumberFormat="1" applyFont="1" applyFill="1" applyBorder="1" applyAlignment="1">
      <x:alignment horizontal="center" vertical="center" wrapText="1"/>
    </x:xf>
    <x:xf numFmtId="0" fontId="17" fillId="35" borderId="0" xfId="0" applyNumberFormat="1" applyFont="1" applyFill="1" applyBorder="1" applyAlignment="1">
      <x:alignment horizontal="center"/>
    </x:xf>
    <x:xf numFmtId="0" fontId="17" fillId="35" borderId="0" xfId="0" applyNumberFormat="1" applyFont="1" applyFill="1" applyBorder="1" applyAlignment="1">
      <x:alignment horizontal="center" vertical="center"/>
    </x:xf>
    <x:xf numFmtId="0" fontId="17" fillId="35" borderId="12" xfId="0" applyNumberFormat="1" applyFont="1" applyFill="1" applyBorder="1" applyAlignment="1">
      <x:alignment horizontal="center" vertical="center" wrapText="1"/>
    </x:xf>
    <x:xf numFmtId="0" fontId="17" fillId="35" borderId="13" xfId="0" applyNumberFormat="1" applyFont="1" applyFill="1" applyBorder="1" applyAlignment="1">
      <x:alignment horizontal="center" vertical="center" wrapText="1"/>
    </x:xf>
    <x:xf numFmtId="0" fontId="17" fillId="35" borderId="14" xfId="0" applyNumberFormat="1" applyFont="1" applyFill="1" applyBorder="1" applyAlignment="1">
      <x:alignment horizontal="center" vertical="center" wrapText="1"/>
    </x:xf>
    <x:xf numFmtId="0" fontId="17" fillId="35" borderId="15" xfId="0" applyNumberFormat="1" applyFont="1" applyFill="1" applyBorder="1" applyAlignment="1">
      <x:alignment horizontal="center" vertical="center" wrapText="1"/>
    </x:xf>
    <x:xf numFmtId="0" fontId="17" fillId="35" borderId="16" xfId="0" applyNumberFormat="1" applyFont="1" applyFill="1" applyBorder="1" applyAlignment="1">
      <x:alignment horizontal="center" vertical="center" wrapText="1"/>
    </x:xf>
    <x:xf numFmtId="0" fontId="17" fillId="35" borderId="17" xfId="0" applyNumberFormat="1" applyFont="1" applyFill="1" applyBorder="1" applyAlignment="1">
      <x:alignment horizontal="center" vertical="center" wrapText="1"/>
    </x:xf>
    <x:xf numFmtId="0" fontId="4" fillId="34" borderId="0" xfId="0" applyNumberFormat="1" applyFont="1" applyFill="1" applyBorder="1"/>
    <x:xf numFmtId="0" fontId="4" fillId="34" borderId="0" xfId="0" applyNumberFormat="1" applyFont="1" applyFill="1" applyBorder="1" applyAlignment="1">
      <x:alignment horizontal="center"/>
    </x:xf>
    <x:xf numFmtId="0" fontId="4" fillId="34" borderId="0" xfId="0" applyNumberFormat="1" applyFont="1" applyFill="1" applyBorder="1" applyAlignment="1">
      <x:alignment horizontal="center" vertical="center"/>
    </x:xf>
    <x:xf numFmtId="0" fontId="4" fillId="34" borderId="0" xfId="0" applyNumberFormat="1" applyFont="1" applyFill="1" applyBorder="1" applyAlignment="1">
      <x:alignment horizontal="center" vertical="center" wrapText="1"/>
    </x:xf>
    <x:xf numFmtId="0" fontId="4" fillId="34" borderId="12" xfId="0" applyNumberFormat="1" applyFont="1" applyFill="1" applyBorder="1" applyAlignment="1">
      <x:alignment horizontal="center" vertical="center" wrapText="1"/>
    </x:xf>
    <x:xf numFmtId="0" fontId="4" fillId="34" borderId="14" xfId="0" applyNumberFormat="1" applyFont="1" applyFill="1" applyBorder="1" applyAlignment="1">
      <x:alignment horizontal="center" vertical="center" wrapText="1"/>
    </x:xf>
    <x:xf numFmtId="0" fontId="4" fillId="34" borderId="15" xfId="0" applyNumberFormat="1" applyFont="1" applyFill="1" applyBorder="1" applyAlignment="1">
      <x:alignment horizontal="center" vertical="center" wrapText="1"/>
    </x:xf>
    <x:xf numFmtId="0" fontId="4" fillId="34" borderId="17" xfId="0" applyNumberFormat="1" applyFont="1" applyFill="1" applyBorder="1" applyAlignment="1">
      <x:alignment horizontal="center" vertical="center" wrapText="1"/>
    </x:xf>
    <x:xf numFmtId="0" fontId="1" fillId="36" borderId="0" xfId="0" applyNumberFormat="1" applyFont="1" applyFill="1" applyBorder="1"/>
    <x:xf numFmtId="0" fontId="4" fillId="36" borderId="0" xfId="0" applyNumberFormat="1" applyFont="1" applyFill="1" applyBorder="1"/>
    <x:xf numFmtId="0" fontId="4" fillId="36" borderId="0" xfId="0" applyNumberFormat="1" applyFont="1" applyFill="1" applyBorder="1" applyAlignment="1">
      <x:alignment horizontal="center"/>
    </x:xf>
    <x:xf numFmtId="0" fontId="4" fillId="36" borderId="0" xfId="0" applyNumberFormat="1" applyFont="1" applyFill="1" applyBorder="1" applyAlignment="1">
      <x:alignment horizontal="center" vertical="center"/>
    </x:xf>
    <x:xf numFmtId="0" fontId="4" fillId="36" borderId="0" xfId="0" applyNumberFormat="1" applyFont="1" applyFill="1" applyBorder="1" applyAlignment="1">
      <x:alignment horizontal="center" vertical="center" wrapText="1"/>
    </x:xf>
    <x:xf numFmtId="0" fontId="4" fillId="36" borderId="12" xfId="0" applyNumberFormat="1" applyFont="1" applyFill="1" applyBorder="1" applyAlignment="1">
      <x:alignment horizontal="center" vertical="center" wrapText="1"/>
    </x:xf>
    <x:xf numFmtId="0" fontId="4" fillId="36" borderId="14" xfId="0" applyNumberFormat="1" applyFont="1" applyFill="1" applyBorder="1" applyAlignment="1">
      <x:alignment horizontal="center" vertical="center" wrapText="1"/>
    </x:xf>
    <x:xf numFmtId="0" fontId="4" fillId="36" borderId="15" xfId="0" applyNumberFormat="1" applyFont="1" applyFill="1" applyBorder="1" applyAlignment="1">
      <x:alignment horizontal="center" vertical="center" wrapText="1"/>
    </x:xf>
    <x:xf numFmtId="0" fontId="4" fillId="36" borderId="17" xfId="0" applyNumberFormat="1" applyFont="1" applyFill="1" applyBorder="1" applyAlignment="1">
      <x:alignment horizontal="center" vertical="center" wrapText="1"/>
    </x:xf>
    <x:xf numFmtId="0" fontId="1" fillId="37" borderId="0" xfId="0" applyNumberFormat="1" applyFont="1" applyFill="1" applyBorder="1"/>
    <x:xf numFmtId="0" fontId="4" fillId="37" borderId="0" xfId="0" applyNumberFormat="1" applyFont="1" applyFill="1" applyBorder="1"/>
    <x:xf numFmtId="0" fontId="4" fillId="37" borderId="0" xfId="0" applyNumberFormat="1" applyFont="1" applyFill="1" applyBorder="1" applyAlignment="1">
      <x:alignment horizontal="center"/>
    </x:xf>
    <x:xf numFmtId="0" fontId="4" fillId="37" borderId="0" xfId="0" applyNumberFormat="1" applyFont="1" applyFill="1" applyBorder="1" applyAlignment="1">
      <x:alignment horizontal="center" vertical="center"/>
    </x:xf>
    <x:xf numFmtId="0" fontId="4" fillId="37" borderId="0" xfId="0" applyNumberFormat="1" applyFont="1" applyFill="1" applyBorder="1" applyAlignment="1">
      <x:alignment horizontal="center" vertical="center" wrapText="1"/>
    </x:xf>
    <x:xf numFmtId="0" fontId="4" fillId="37" borderId="12" xfId="0" applyNumberFormat="1" applyFont="1" applyFill="1" applyBorder="1" applyAlignment="1">
      <x:alignment horizontal="center" vertical="center" wrapText="1"/>
    </x:xf>
    <x:xf numFmtId="0" fontId="4" fillId="37" borderId="14" xfId="0" applyNumberFormat="1" applyFont="1" applyFill="1" applyBorder="1" applyAlignment="1">
      <x:alignment horizontal="center" vertical="center" wrapText="1"/>
    </x:xf>
    <x:xf numFmtId="0" fontId="4" fillId="37" borderId="15" xfId="0" applyNumberFormat="1" applyFont="1" applyFill="1" applyBorder="1" applyAlignment="1">
      <x:alignment horizontal="center" vertical="center" wrapText="1"/>
    </x:xf>
    <x:xf numFmtId="0" fontId="4" fillId="37" borderId="17" xfId="0" applyNumberFormat="1" applyFont="1" applyFill="1" applyBorder="1" applyAlignment="1">
      <x:alignment horizontal="center" vertical="center" wrapText="1"/>
    </x:xf>
    <x:xf numFmtId="0" fontId="1" fillId="38" borderId="0" xfId="0" applyNumberFormat="1" applyFont="1" applyFill="1" applyBorder="1"/>
    <x:xf numFmtId="0" fontId="4" fillId="38" borderId="0" xfId="0" applyNumberFormat="1" applyFont="1" applyFill="1" applyBorder="1"/>
    <x:xf numFmtId="0" fontId="4" fillId="38" borderId="0" xfId="0" applyNumberFormat="1" applyFont="1" applyFill="1" applyBorder="1" applyAlignment="1">
      <x:alignment horizontal="center"/>
    </x:xf>
    <x:xf numFmtId="0" fontId="4" fillId="38" borderId="0" xfId="0" applyNumberFormat="1" applyFont="1" applyFill="1" applyBorder="1" applyAlignment="1">
      <x:alignment horizontal="center" vertical="center"/>
    </x:xf>
    <x:xf numFmtId="0" fontId="4" fillId="38" borderId="0" xfId="0" applyNumberFormat="1" applyFont="1" applyFill="1" applyBorder="1" applyAlignment="1">
      <x:alignment horizontal="center" vertical="center" wrapText="1"/>
    </x:xf>
    <x:xf numFmtId="0" fontId="4" fillId="38" borderId="12" xfId="0" applyNumberFormat="1" applyFont="1" applyFill="1" applyBorder="1" applyAlignment="1">
      <x:alignment horizontal="center" vertical="center" wrapText="1"/>
    </x:xf>
    <x:xf numFmtId="0" fontId="4" fillId="38" borderId="13" xfId="0" applyNumberFormat="1" applyFont="1" applyFill="1" applyBorder="1" applyAlignment="1">
      <x:alignment horizontal="center" vertical="center" wrapText="1"/>
    </x:xf>
    <x:xf numFmtId="0" fontId="4" fillId="38" borderId="14" xfId="0" applyNumberFormat="1" applyFont="1" applyFill="1" applyBorder="1" applyAlignment="1">
      <x:alignment horizontal="center" vertical="center" wrapText="1"/>
    </x:xf>
    <x:xf numFmtId="0" fontId="4" fillId="38" borderId="15" xfId="0" applyNumberFormat="1" applyFont="1" applyFill="1" applyBorder="1" applyAlignment="1">
      <x:alignment horizontal="center" vertical="center" wrapText="1"/>
    </x:xf>
    <x:xf numFmtId="0" fontId="4" fillId="38" borderId="16" xfId="0" applyNumberFormat="1" applyFont="1" applyFill="1" applyBorder="1" applyAlignment="1">
      <x:alignment horizontal="center" vertical="center" wrapText="1"/>
    </x:xf>
    <x:xf numFmtId="0" fontId="4" fillId="38" borderId="17" xfId="0" applyNumberFormat="1" applyFont="1" applyFill="1" applyBorder="1" applyAlignment="1">
      <x:alignment horizontal="center" vertical="center" wrapText="1"/>
    </x:xf>
    <x:xf numFmtId="0" fontId="18" fillId="34" borderId="0" xfId="0" applyNumberFormat="1" applyFont="1" applyFill="1" applyBorder="1"/>
    <x:xf numFmtId="0" fontId="18" fillId="34" borderId="0" xfId="0" applyNumberFormat="1" applyFont="1" applyFill="1" applyBorder="1" applyAlignment="1">
      <x:alignment horizontal="center"/>
    </x:xf>
    <x:xf numFmtId="0" fontId="18" fillId="34" borderId="0" xfId="0" applyNumberFormat="1" applyFont="1" applyFill="1" applyBorder="1" applyAlignment="1">
      <x:alignment horizontal="center" vertical="center"/>
    </x:xf>
    <x:xf numFmtId="0" fontId="18" fillId="34" borderId="0" xfId="0" applyNumberFormat="1" applyFont="1" applyFill="1" applyBorder="1" applyAlignment="1">
      <x:alignment horizontal="center" vertical="center" wrapText="1"/>
    </x:xf>
    <x:xf numFmtId="0" fontId="18" fillId="34" borderId="18" xfId="0" applyNumberFormat="1" applyFont="1" applyFill="1" applyBorder="1" applyAlignment="1">
      <x:alignment horizontal="center" vertical="center" wrapText="1"/>
    </x:xf>
    <x:xf numFmtId="0" fontId="18" fillId="34" borderId="19" xfId="0" applyNumberFormat="1" applyFont="1" applyFill="1" applyBorder="1" applyAlignment="1">
      <x:alignment horizontal="center" vertical="center" wrapText="1"/>
    </x:xf>
    <x:xf numFmtId="0" fontId="18" fillId="34" borderId="20" xfId="0" applyNumberFormat="1" applyFont="1" applyFill="1" applyBorder="1" applyAlignment="1">
      <x:alignment horizontal="center" vertical="center" wrapText="1"/>
    </x:xf>
    <x:xf numFmtId="0" fontId="1" fillId="39" borderId="0" xfId="0" applyNumberFormat="1" applyFont="1" applyFill="1" applyBorder="1"/>
    <x:xf numFmtId="0" fontId="19" fillId="39" borderId="0" xfId="0" applyNumberFormat="1" applyFont="1" applyFill="1" applyBorder="1"/>
    <x:xf numFmtId="0" fontId="19" fillId="39" borderId="0" xfId="0" applyNumberFormat="1" applyFont="1" applyFill="1" applyBorder="1" applyAlignment="1">
      <x:alignment horizontal="center"/>
    </x:xf>
    <x:xf numFmtId="0" fontId="19" fillId="39" borderId="0" xfId="0" applyNumberFormat="1" applyFont="1" applyFill="1" applyBorder="1" applyAlignment="1">
      <x:alignment horizontal="center" vertical="center"/>
    </x:xf>
    <x:xf numFmtId="0" fontId="19" fillId="39" borderId="0" xfId="0" applyNumberFormat="1" applyFont="1" applyFill="1" applyBorder="1" applyAlignment="1">
      <x:alignment horizontal="center" vertical="center" wrapText="1"/>
    </x:xf>
    <x:xf numFmtId="0" fontId="19" fillId="39" borderId="12" xfId="0" applyNumberFormat="1" applyFont="1" applyFill="1" applyBorder="1" applyAlignment="1">
      <x:alignment horizontal="center" vertical="center" wrapText="1"/>
    </x:xf>
    <x:xf numFmtId="0" fontId="19" fillId="39" borderId="13" xfId="0" applyNumberFormat="1" applyFont="1" applyFill="1" applyBorder="1" applyAlignment="1">
      <x:alignment horizontal="center" vertical="center" wrapText="1"/>
    </x:xf>
    <x:xf numFmtId="0" fontId="19" fillId="39" borderId="14" xfId="0" applyNumberFormat="1" applyFont="1" applyFill="1" applyBorder="1" applyAlignment="1">
      <x:alignment horizontal="center" vertical="center" wrapText="1"/>
    </x:xf>
    <x:xf numFmtId="0" fontId="19" fillId="39" borderId="21" xfId="0" applyNumberFormat="1" applyFont="1" applyFill="1" applyBorder="1" applyAlignment="1">
      <x:alignment horizontal="center" vertical="center" wrapText="1"/>
    </x:xf>
    <x:xf numFmtId="0" fontId="19" fillId="39" borderId="22" xfId="0" applyNumberFormat="1" applyFont="1" applyFill="1" applyBorder="1" applyAlignment="1">
      <x:alignment horizontal="center" vertical="center" wrapText="1"/>
    </x:xf>
    <x:xf numFmtId="0" fontId="19" fillId="39" borderId="23" xfId="0" applyNumberFormat="1" applyFont="1" applyFill="1" applyBorder="1" applyAlignment="1">
      <x:alignment horizontal="center" vertical="center" wrapText="1"/>
    </x:xf>
    <x:xf numFmtId="0" fontId="19" fillId="39" borderId="15" xfId="0" applyNumberFormat="1" applyFont="1" applyFill="1" applyBorder="1" applyAlignment="1">
      <x:alignment horizontal="center" vertical="center" wrapText="1"/>
    </x:xf>
    <x:xf numFmtId="0" fontId="19" fillId="39" borderId="16" xfId="0" applyNumberFormat="1" applyFont="1" applyFill="1" applyBorder="1" applyAlignment="1">
      <x:alignment horizontal="center" vertical="center" wrapText="1"/>
    </x:xf>
    <x:xf numFmtId="0" fontId="19" fillId="39" borderId="17" xfId="0" applyNumberFormat="1" applyFont="1" applyFill="1" applyBorder="1" applyAlignment="1">
      <x:alignment horizontal="center" vertical="center" wrapText="1"/>
    </x:xf>
    <x:xf numFmtId="0" fontId="4" fillId="36" borderId="12" xfId="0" applyNumberFormat="1" applyFont="1" applyFill="1" applyBorder="1" applyAlignment="1">
      <x:alignment horizontal="center" vertical="center"/>
    </x:xf>
    <x:xf numFmtId="0" fontId="4" fillId="36" borderId="13" xfId="0" applyNumberFormat="1" applyFont="1" applyFill="1" applyBorder="1" applyAlignment="1">
      <x:alignment horizontal="center" vertical="center"/>
    </x:xf>
    <x:xf numFmtId="0" fontId="4" fillId="36" borderId="14" xfId="0" applyNumberFormat="1" applyFont="1" applyFill="1" applyBorder="1" applyAlignment="1">
      <x:alignment horizontal="center" vertical="center"/>
    </x:xf>
    <x:xf numFmtId="0" fontId="1" fillId="39" borderId="21" xfId="0" applyNumberFormat="1" applyFont="1" applyFill="1" applyBorder="1"/>
    <x:xf numFmtId="0" fontId="1" fillId="39" borderId="22" xfId="0" applyNumberFormat="1" applyFont="1" applyFill="1" applyBorder="1"/>
    <x:xf numFmtId="0" fontId="1" fillId="39" borderId="23" xfId="0" applyNumberFormat="1" applyFont="1" applyFill="1" applyBorder="1"/>
    <x:xf numFmtId="0" fontId="1" fillId="39" borderId="15" xfId="0" applyNumberFormat="1" applyFont="1" applyFill="1" applyBorder="1"/>
    <x:xf numFmtId="0" fontId="1" fillId="39" borderId="16" xfId="0" applyNumberFormat="1" applyFont="1" applyFill="1" applyBorder="1"/>
    <x:xf numFmtId="0" fontId="1" fillId="39" borderId="17" xfId="0" applyNumberFormat="1" applyFont="1" applyFill="1" applyBorder="1"/>
    <x:xf numFmtId="202" fontId="1" fillId="39" borderId="22" xfId="0" applyNumberFormat="1" applyFont="1" applyFill="1" applyBorder="1"/>
    <x:xf numFmtId="202" fontId="1" fillId="39" borderId="16" xfId="0" applyNumberFormat="1" applyFont="1" applyFill="1" applyBorder="1"/>
    <x:xf numFmtId="0" fontId="20" fillId="39" borderId="0" xfId="0" applyNumberFormat="1" applyFont="1" applyFill="1" applyBorder="1"/>
    <x:xf numFmtId="0" fontId="20" fillId="39" borderId="0" xfId="0" applyNumberFormat="1" applyFont="1" applyFill="1" applyBorder="1" applyAlignment="1">
      <x:alignment horizontal="left"/>
    </x:xf>
    <x:xf numFmtId="0" fontId="20" fillId="39" borderId="0" xfId="0" applyNumberFormat="1" applyFont="1" applyFill="1" applyBorder="1" applyAlignment="1">
      <x:alignment horizontal="left" vertical="center"/>
    </x:xf>
    <x:xf numFmtId="0" fontId="20" fillId="39" borderId="0" xfId="0" applyNumberFormat="1" applyFont="1" applyFill="1" applyBorder="1" applyAlignment="1">
      <x:alignment horizontal="left" vertical="center" wrapText="1"/>
    </x:xf>
    <x:xf numFmtId="0" fontId="20" fillId="39" borderId="12" xfId="0" applyNumberFormat="1" applyFont="1" applyFill="1" applyBorder="1" applyAlignment="1">
      <x:alignment horizontal="left" vertical="center" wrapText="1"/>
    </x:xf>
    <x:xf numFmtId="0" fontId="20" fillId="39" borderId="13" xfId="0" applyNumberFormat="1" applyFont="1" applyFill="1" applyBorder="1" applyAlignment="1">
      <x:alignment horizontal="left" vertical="center" wrapText="1"/>
    </x:xf>
    <x:xf numFmtId="0" fontId="20" fillId="39" borderId="14" xfId="0" applyNumberFormat="1" applyFont="1" applyFill="1" applyBorder="1" applyAlignment="1">
      <x:alignment horizontal="left" vertical="center" wrapText="1"/>
    </x:xf>
    <x:xf numFmtId="0" fontId="20" fillId="39" borderId="21" xfId="0" applyNumberFormat="1" applyFont="1" applyFill="1" applyBorder="1" applyAlignment="1">
      <x:alignment horizontal="left" vertical="center" wrapText="1"/>
    </x:xf>
    <x:xf numFmtId="0" fontId="20" fillId="39" borderId="22" xfId="0" applyNumberFormat="1" applyFont="1" applyFill="1" applyBorder="1" applyAlignment="1">
      <x:alignment horizontal="left" vertical="center" wrapText="1"/>
    </x:xf>
    <x:xf numFmtId="0" fontId="20" fillId="39" borderId="23" xfId="0" applyNumberFormat="1" applyFont="1" applyFill="1" applyBorder="1" applyAlignment="1">
      <x:alignment horizontal="left" vertical="center" wrapText="1"/>
    </x:xf>
    <x:xf numFmtId="0" fontId="20" fillId="39" borderId="15" xfId="0" applyNumberFormat="1" applyFont="1" applyFill="1" applyBorder="1" applyAlignment="1">
      <x:alignment horizontal="left" vertical="center" wrapText="1"/>
    </x:xf>
    <x:xf numFmtId="0" fontId="20" fillId="39" borderId="16" xfId="0" applyNumberFormat="1" applyFont="1" applyFill="1" applyBorder="1" applyAlignment="1">
      <x:alignment horizontal="left" vertical="center" wrapText="1"/>
    </x:xf>
    <x:xf numFmtId="0" fontId="20" fillId="39" borderId="17" xfId="0" applyNumberFormat="1" applyFont="1" applyFill="1" applyBorder="1" applyAlignment="1">
      <x:alignment horizontal="left" vertical="center" wrapText="1"/>
    </x:xf>
    <x:xf numFmtId="0" fontId="0" fillId="34" borderId="0" xfId="0" applyNumberFormat="1" applyFont="1" applyFill="1" applyBorder="1"/>
    <x:xf numFmtId="0" fontId="0" fillId="36" borderId="0" xfId="0" applyNumberFormat="1" applyFont="1" applyFill="1" applyBorder="1"/>
    <x:xf numFmtId="0" fontId="0" fillId="39" borderId="0" xfId="0" applyNumberFormat="1" applyFont="1" applyFill="1" applyBorder="1"/>
    <x:xf numFmtId="0" fontId="0" fillId="39" borderId="21" xfId="0" applyNumberFormat="1" applyFont="1" applyFill="1" applyBorder="1"/>
    <x:xf numFmtId="0" fontId="0" fillId="39" borderId="22" xfId="0" applyNumberFormat="1" applyFont="1" applyFill="1" applyBorder="1"/>
    <x:xf numFmtId="0" fontId="0" fillId="39" borderId="23" xfId="0" applyNumberFormat="1" applyFont="1" applyFill="1" applyBorder="1"/>
    <x:xf numFmtId="0" fontId="0" fillId="39" borderId="15" xfId="0" applyNumberFormat="1" applyFont="1" applyFill="1" applyBorder="1"/>
    <x:xf numFmtId="0" fontId="0" fillId="39" borderId="16" xfId="0" applyNumberFormat="1" applyFont="1" applyFill="1" applyBorder="1"/>
    <x:xf numFmtId="0" fontId="0" fillId="39" borderId="17" xfId="0" applyNumberFormat="1" applyFont="1" applyFill="1" applyBorder="1"/>
    <x:xf numFmtId="202" fontId="0" fillId="39" borderId="21" xfId="0" applyNumberFormat="1" applyFont="1" applyFill="1" applyBorder="1"/>
    <x:xf numFmtId="202" fontId="0" fillId="39" borderId="22" xfId="0" applyNumberFormat="1" applyFont="1" applyFill="1" applyBorder="1"/>
    <x:xf numFmtId="202" fontId="0" fillId="39" borderId="23" xfId="0" applyNumberFormat="1" applyFont="1" applyFill="1" applyBorder="1"/>
    <x:xf numFmtId="202" fontId="0" fillId="39" borderId="15" xfId="0" applyNumberFormat="1" applyFont="1" applyFill="1" applyBorder="1"/>
    <x:xf numFmtId="202" fontId="0" fillId="39" borderId="16" xfId="0" applyNumberFormat="1" applyFont="1" applyFill="1" applyBorder="1"/>
    <x:xf numFmtId="202" fontId="0" fillId="39" borderId="17" xfId="0" applyNumberFormat="1" applyFont="1" applyFill="1" applyBorder="1"/>
  </x:cellXfs>
  <x:cellStyles count="1">
    <x:cellStyle name="Normal" xfId="0"/>
  </x:cellStyles>
  <x:dxfs count="8">
    <x:dxf>
      <x:font>
        <x:b/>
        <x:color rgb="166534"/>
      </x:font>
      <x:fill>
        <x:patternFill>
          <x:bgColor rgb="DCFCE7"/>
        </x:patternFill>
      </x:fill>
    </x:dxf>
    <x:dxf>
      <x:font>
        <x:b/>
        <x:color rgb="991B1B"/>
      </x:font>
      <x:fill>
        <x:patternFill>
          <x:bgColor rgb="FEE2E2"/>
        </x:patternFill>
      </x:fill>
    </x:dxf>
    <x:dxf>
      <x:font>
        <x:b/>
        <x:color rgb="166534"/>
      </x:font>
      <x:fill>
        <x:patternFill>
          <x:bgColor rgb="DCFCE7"/>
        </x:patternFill>
      </x:fill>
    </x:dxf>
    <x:dxf>
      <x:font>
        <x:b/>
        <x:color rgb="991B1B"/>
      </x:font>
      <x:fill>
        <x:patternFill>
          <x:bgColor rgb="FEE2E2"/>
        </x:patternFill>
      </x:fill>
    </x:dxf>
    <x:dxf>
      <x:font>
        <x:b/>
        <x:color rgb="991B1B"/>
      </x:font>
      <x:fill>
        <x:patternFill>
          <x:bgColor rgb="FEE2E2"/>
        </x:patternFill>
      </x:fill>
    </x:dxf>
    <x:dxf>
      <x:font>
        <x:b/>
        <x:color rgb="166534"/>
      </x:font>
      <x:fill>
        <x:patternFill>
          <x:bgColor rgb="DCFCE7"/>
        </x:patternFill>
      </x:fill>
    </x:dxf>
    <x:dxf>
      <x:fill>
        <x:patternFill>
          <x:bgColor rgb="DCFCE7"/>
        </x:patternFill>
      </x:fill>
    </x:dxf>
    <x:dxf>
      <x:fill>
        <x:patternFill>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227daa0edc4cf8" /><Relationship Type="http://schemas.openxmlformats.org/officeDocument/2006/relationships/theme" Target="/xl/theme/theme1.xml" Id="R6b5744a248c84c28" /><Relationship Type="http://schemas.openxmlformats.org/officeDocument/2006/relationships/sharedStrings" Target="/xl/sharedStrings.xml" Id="R6639a778d1214b6f" /><Relationship Type="http://schemas.openxmlformats.org/officeDocument/2006/relationships/worksheet" Target="/xl/worksheets/sheet1.xml" Id="R8679a56a468f4544" /><Relationship Type="http://schemas.openxmlformats.org/officeDocument/2006/relationships/worksheet" Target="/xl/worksheets/sheet2.xml" Id="R4725bb4b49764d04" /><Relationship Type="http://schemas.openxmlformats.org/officeDocument/2006/relationships/worksheet" Target="/xl/worksheets/sheet3.xml" Id="Raa0785561d014a33" /><Relationship Type="http://schemas.openxmlformats.org/officeDocument/2006/relationships/worksheet" Target="/xl/worksheets/sheet4.xml" Id="Rcac62be5c6c044e6" /><Relationship Type="http://schemas.openxmlformats.org/officeDocument/2006/relationships/worksheet" Target="/xl/worksheets/sheet5.xml" Id="Rc561b5a595ab4e0c" /><Relationship Type="http://schemas.openxmlformats.org/officeDocument/2006/relationships/worksheet" Target="/xl/worksheets/sheet6.xml" Id="R580636da8b5a4476" /></Relationships>
</file>

<file path=xl/drawings/_rels/drawing1.xml.rels>&#65279;<?xml version="1.0" encoding="utf-8"?><Relationships xmlns="http://schemas.openxmlformats.org/package/2006/relationships"><Relationship Type="http://schemas.openxmlformats.org/officeDocument/2006/relationships/chart" Target="/xl/drawings/charts/chart1.xml" Id="R05ed5370af1a4807" /><Relationship Type="http://schemas.openxmlformats.org/officeDocument/2006/relationships/chart" Target="/xl/drawings/charts/chart2.xml" Id="R057c528ac7444635" /><Relationship Type="http://schemas.openxmlformats.org/officeDocument/2006/relationships/chart" Target="/xl/drawings/charts/chart3.xml" Id="R95bf297239c64034" /></Relationships>
</file>

<file path=xl/drawings/charts/chart1.xml><?xml version="1.0" encoding="utf-8"?>
<c:chartSpace xmlns:c="http://schemas.openxmlformats.org/drawingml/2006/chart">
  <c:lang val="en-US"/>
  <c:roundedCorners val="0"/>
  <c:chart>
    <c:plotArea>
      <c:layout/>
      <c:lineChart>
        <c:ser>
          <c:idx val="0"/>
          <c:order val="0"/>
          <c:tx>
            <c:v>Diagramme de l’effort normal N(x)</c:v>
          </c:tx>
          <c:cat>
            <c:strRef>
              <c:f>'DIAGRAMMES'!$B$24:$B$123</c:f>
              <c:strCache>
                <c:ptCount val="0"/>
              </c:strCache>
            </c:strRef>
          </c:cat>
          <c:val>
            <c:numRef>
              <c:f>'DIAGRAMMES'!$C$24:$C$123</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overlay val="0"/>
          <c:tx>
            <c:rich>
              <a:bodyPr xmlns:a="http://schemas.openxmlformats.org/drawingml/2006/main"/>
              <a:lstStyle xmlns:a="http://schemas.openxmlformats.org/drawingml/2006/main"/>
              <a:p xmlns:a="http://schemas.openxmlformats.org/drawingml/2006/main">
                <a:r>
                  <a:rPr/>
                  <a:t>Position x [m]</a:t>
                </a:r>
              </a:p>
            </c:rich>
          </c:tx>
        </c:title>
        <c:numFmt formatCode="0.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overlay val="0"/>
          <c:tx>
            <c:rich>
              <a:bodyPr xmlns:a="http://schemas.openxmlformats.org/drawingml/2006/main"/>
              <a:lstStyle xmlns:a="http://schemas.openxmlformats.org/drawingml/2006/main"/>
              <a:p xmlns:a="http://schemas.openxmlformats.org/drawingml/2006/main">
                <a:r>
                  <a:rPr/>
                  <a:t>N(x) [kN]</a:t>
                </a:r>
              </a:p>
            </c:rich>
          </c:tx>
        </c:title>
        <c:numFmt formatCode="0.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lineChart>
        <c:ser>
          <c:idx val="0"/>
          <c:order val="0"/>
          <c:tx>
            <c:v>Diagramme de l’effort tranchant T(x)</c:v>
          </c:tx>
          <c:cat>
            <c:strRef>
              <c:f>'DIAGRAMMES'!$B$24:$B$123</c:f>
              <c:strCache>
                <c:ptCount val="0"/>
              </c:strCache>
            </c:strRef>
          </c:cat>
          <c:val>
            <c:numRef>
              <c:f>'DIAGRAMMES'!$D$24:$D$123</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overlay val="0"/>
          <c:tx>
            <c:rich>
              <a:bodyPr xmlns:a="http://schemas.openxmlformats.org/drawingml/2006/main"/>
              <a:lstStyle xmlns:a="http://schemas.openxmlformats.org/drawingml/2006/main"/>
              <a:p xmlns:a="http://schemas.openxmlformats.org/drawingml/2006/main">
                <a:r>
                  <a:rPr/>
                  <a:t>Position x [m]</a:t>
                </a:r>
              </a:p>
            </c:rich>
          </c:tx>
        </c:title>
        <c:numFmt formatCode="0.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overlay val="0"/>
          <c:tx>
            <c:rich>
              <a:bodyPr xmlns:a="http://schemas.openxmlformats.org/drawingml/2006/main"/>
              <a:lstStyle xmlns:a="http://schemas.openxmlformats.org/drawingml/2006/main"/>
              <a:p xmlns:a="http://schemas.openxmlformats.org/drawingml/2006/main">
                <a:r>
                  <a:rPr/>
                  <a:t>T(x) [kN]</a:t>
                </a:r>
              </a:p>
            </c:rich>
          </c:tx>
        </c:title>
        <c:numFmt formatCode="0.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lineChart>
        <c:ser>
          <c:idx val="0"/>
          <c:order val="0"/>
          <c:tx>
            <c:v>Diagramme du moment fléchissant M(x)</c:v>
          </c:tx>
          <c:cat>
            <c:strRef>
              <c:f>'DIAGRAMMES'!$B$24:$B$123</c:f>
              <c:strCache>
                <c:ptCount val="0"/>
              </c:strCache>
            </c:strRef>
          </c:cat>
          <c:val>
            <c:numRef>
              <c:f>'DIAGRAMMES'!$E$24:$E$123</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overlay val="0"/>
          <c:tx>
            <c:rich>
              <a:bodyPr xmlns:a="http://schemas.openxmlformats.org/drawingml/2006/main"/>
              <a:lstStyle xmlns:a="http://schemas.openxmlformats.org/drawingml/2006/main"/>
              <a:p xmlns:a="http://schemas.openxmlformats.org/drawingml/2006/main">
                <a:r>
                  <a:rPr/>
                  <a:t>Position x [m]</a:t>
                </a:r>
              </a:p>
            </c:rich>
          </c:tx>
        </c:title>
        <c:numFmt formatCode="0.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overlay val="0"/>
          <c:tx>
            <c:rich>
              <a:bodyPr xmlns:a="http://schemas.openxmlformats.org/drawingml/2006/main"/>
              <a:lstStyle xmlns:a="http://schemas.openxmlformats.org/drawingml/2006/main"/>
              <a:p xmlns:a="http://schemas.openxmlformats.org/drawingml/2006/main">
                <a:r>
                  <a:rPr/>
                  <a:t>M(x) [kN.m]</a:t>
                </a:r>
              </a:p>
            </c:rich>
          </c:tx>
        </c:title>
        <c:numFmt formatCode="0.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23</xdr:row>
      <xdr:rowOff>0</xdr:rowOff>
    </xdr:from>
    <xdr:to>
      <xdr:col>10</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ed5370af1a4807"/>
        </a:graphicData>
      </a:graphic>
    </xdr:graphicFrame>
    <xdr:clientData/>
  </xdr:twoCellAnchor>
  <xdr:twoCellAnchor>
    <xdr:from>
      <xdr:col>6</xdr:col>
      <xdr:colOff>0</xdr:colOff>
      <xdr:row>44</xdr:row>
      <xdr:rowOff>0</xdr:rowOff>
    </xdr:from>
    <xdr:to>
      <xdr:col>10</xdr:col>
      <xdr:colOff>0</xdr:colOff>
      <xdr:row>64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7c528ac7444635"/>
        </a:graphicData>
      </a:graphic>
    </xdr:graphicFrame>
    <xdr:clientData/>
  </xdr:twoCellAnchor>
  <xdr:twoCellAnchor>
    <xdr:from>
      <xdr:col>6</xdr:col>
      <xdr:colOff>0</xdr:colOff>
      <xdr:row>65</xdr:row>
      <xdr:rowOff>0</xdr:rowOff>
    </xdr:from>
    <xdr:to>
      <xdr:col>10</xdr:col>
      <xdr:colOff>0</xdr:colOff>
      <xdr:row>85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bf297239c64034"/>
        </a:graphicData>
      </a:graphic>
    </xdr:graphicFrame>
    <xdr:clientData/>
  </xdr:twoCellAnchor>
</xdr:wsDr>
</file>

<file path=xl/tables/table1.xml><?xml version="1.0" encoding="utf-8"?>
<x:table xmlns:x="http://schemas.openxmlformats.org/spreadsheetml/2006/main" id="1" name="TableDiagrammes" displayName="TableDiagrammes" ref="B23:E123" headerRowCount="1">
  <x:tableColumns count="4">
    <x:tableColumn id="1" name="x (m)"/>
    <x:tableColumn id="2" name="N(x) kN"/>
    <x:tableColumn id="3" name="T(x) kN"/>
    <x:tableColumn id="4" name="M(x) kN.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0ed1e064f2564830" /><Relationship Type="http://schemas.openxmlformats.org/officeDocument/2006/relationships/table" Target="/xl/tables/table1.xml" Id="R4b18d26656ee4ff2"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22" customHeight="1">
      <x:c r="A1" s="4"/>
      <x:c r="B1" s="4"/>
      <x:c r="C1" s="4"/>
      <x:c r="D1" s="4"/>
      <x:c r="E1" s="4"/>
      <x:c r="F1" s="4"/>
      <x:c r="G1" s="4"/>
      <x:c r="H1" s="4"/>
      <x:c r="I1" s="4"/>
      <x:c r="J1" s="4"/>
      <x:c r="K1" s="4"/>
      <x:c r="L1" s="4"/>
    </x:row>
    <x:row r="2" ht="22" customHeight="1">
      <x:c r="A2" s="4"/>
      <x:c r="B2" s="14" t="str">
        <x:v>OUTIL DE CALCUL DES STRUCTURES ISOSTATIQUES</x:v>
      </x:c>
      <x:c r="C2" s="4"/>
      <x:c r="D2" s="4"/>
      <x:c r="E2" s="4"/>
      <x:c r="F2" s="4"/>
      <x:c r="G2" s="4"/>
      <x:c r="H2" s="4"/>
      <x:c r="I2" s="4"/>
      <x:c r="J2" s="4"/>
      <x:c r="K2" s="4"/>
      <x:c r="L2" s="4"/>
    </x:row>
    <x:row r="3" ht="22" customHeight="1">
      <x:c r="A3" s="4"/>
      <x:c r="B3" s="4"/>
      <x:c r="C3" s="4"/>
      <x:c r="D3" s="4"/>
      <x:c r="E3" s="4"/>
      <x:c r="F3" s="4"/>
      <x:c r="G3" s="4"/>
      <x:c r="H3" s="4"/>
      <x:c r="I3" s="4"/>
      <x:c r="J3" s="4"/>
      <x:c r="K3" s="4"/>
      <x:c r="L3" s="4"/>
    </x:row>
    <x:row r="4" ht="22" customHeight="1">
      <x:c r="A4" s="4"/>
      <x:c r="B4" s="4"/>
      <x:c r="C4" s="4"/>
      <x:c r="D4" s="4"/>
      <x:c r="E4" s="4"/>
      <x:c r="F4" s="4"/>
      <x:c r="G4" s="4"/>
      <x:c r="H4" s="4"/>
      <x:c r="I4" s="4"/>
      <x:c r="J4" s="4"/>
      <x:c r="K4" s="4"/>
      <x:c r="L4" s="4"/>
    </x:row>
    <x:row r="5" ht="22" customHeight="1">
      <x:c r="A5" s="4"/>
      <x:c r="B5" s="4"/>
      <x:c r="C5" s="4"/>
      <x:c r="D5" s="4"/>
      <x:c r="E5" s="4"/>
      <x:c r="F5" s="4"/>
      <x:c r="G5" s="4"/>
      <x:c r="H5" s="4"/>
      <x:c r="I5" s="4"/>
      <x:c r="J5" s="4"/>
      <x:c r="K5" s="4"/>
      <x:c r="L5" s="4"/>
    </x:row>
    <x:row r="6" ht="22" customHeight="1">
      <x:c r="A6" s="4"/>
      <x:c r="B6" s="24" t="str">
        <x:v>Accueil du moteur de calcul de poutres isostatiques 2D</x:v>
      </x:c>
      <x:c r="C6" s="4"/>
      <x:c r="D6" s="4"/>
      <x:c r="E6" s="4"/>
      <x:c r="F6" s="4"/>
      <x:c r="G6" s="4"/>
      <x:c r="H6" s="4"/>
      <x:c r="I6" s="4"/>
      <x:c r="J6" s="4"/>
      <x:c r="K6" s="4"/>
      <x:c r="L6" s="4"/>
    </x:row>
    <x:row r="7" ht="22" customHeight="1">
      <x:c r="A7" s="4"/>
      <x:c r="B7" s="4"/>
      <x:c r="C7" s="4"/>
      <x:c r="D7" s="4"/>
      <x:c r="E7" s="4"/>
      <x:c r="F7" s="4"/>
      <x:c r="G7" s="4"/>
      <x:c r="H7" s="4"/>
      <x:c r="I7" s="4"/>
      <x:c r="J7" s="4"/>
      <x:c r="K7" s="4"/>
      <x:c r="L7" s="4"/>
    </x:row>
    <x:row r="8" ht="22" customHeight="1">
      <x:c r="A8" s="4"/>
      <x:c r="B8" s="4"/>
      <x:c r="C8" s="4"/>
      <x:c r="D8" s="4"/>
      <x:c r="E8" s="4"/>
      <x:c r="F8" s="4"/>
      <x:c r="G8" s="4"/>
      <x:c r="H8" s="4"/>
      <x:c r="I8" s="4"/>
      <x:c r="J8" s="4"/>
      <x:c r="K8" s="4"/>
      <x:c r="L8" s="4"/>
    </x:row>
    <x:row r="9" ht="22" customHeight="1">
      <x:c r="A9" s="4"/>
      <x:c r="B9" s="4"/>
      <x:c r="C9" s="4"/>
      <x:c r="D9" s="4"/>
      <x:c r="E9" s="4"/>
      <x:c r="F9" s="4"/>
      <x:c r="G9" s="4"/>
      <x:c r="H9" s="4"/>
      <x:c r="I9" s="4"/>
      <x:c r="J9" s="4"/>
      <x:c r="K9" s="4"/>
      <x:c r="L9" s="4"/>
    </x:row>
    <x:row r="10" ht="22" customHeight="1">
      <x:c r="A10" s="4"/>
      <x:c r="B10" s="32" t="str">
        <x:v>Définir la structure</x:v>
      </x:c>
      <x:c r="C10" s="4"/>
      <x:c r="D10" s="4"/>
      <x:c r="E10" s="40" t="str">
        <x:v>Ajouter les charges</x:v>
      </x:c>
      <x:c r="F10" s="4"/>
      <x:c r="G10" s="4"/>
      <x:c r="H10" s="48" t="str">
        <x:v>Voir les résultats</x:v>
      </x:c>
      <x:c r="I10" s="4"/>
      <x:c r="J10" s="4"/>
      <x:c r="K10" s="4"/>
      <x:c r="L10" s="4"/>
    </x:row>
    <x:row r="11" ht="22" customHeight="1">
      <x:c r="A11" s="4"/>
      <x:c r="B11" s="4"/>
      <x:c r="C11" s="4"/>
      <x:c r="D11" s="4"/>
      <x:c r="E11" s="4"/>
      <x:c r="F11" s="4"/>
      <x:c r="G11" s="4"/>
      <x:c r="H11" s="4"/>
      <x:c r="I11" s="4"/>
      <x:c r="J11" s="4"/>
      <x:c r="K11" s="4"/>
      <x:c r="L11" s="4"/>
    </x:row>
    <x:row r="12" ht="22" customHeight="1">
      <x:c r="A12" s="4"/>
      <x:c r="B12" s="4"/>
      <x:c r="C12" s="4"/>
      <x:c r="D12" s="4"/>
      <x:c r="E12" s="4"/>
      <x:c r="F12" s="4"/>
      <x:c r="G12" s="4"/>
      <x:c r="H12" s="4"/>
      <x:c r="I12" s="4"/>
      <x:c r="J12" s="4"/>
      <x:c r="K12" s="4"/>
      <x:c r="L12" s="4"/>
    </x:row>
    <x:row r="13" ht="22" customHeight="1">
      <x:c r="A13" s="4"/>
      <x:c r="B13" s="4"/>
      <x:c r="C13" s="4"/>
      <x:c r="D13" s="4"/>
      <x:c r="E13" s="4"/>
      <x:c r="F13" s="4"/>
      <x:c r="G13" s="4"/>
      <x:c r="H13" s="4"/>
      <x:c r="I13" s="4"/>
      <x:c r="J13" s="4"/>
      <x:c r="K13" s="4"/>
      <x:c r="L13" s="4"/>
    </x:row>
    <x:row r="14" ht="22" customHeight="1">
      <x:c r="A14" s="4"/>
      <x:c r="B14" s="4"/>
      <x:c r="C14" s="4"/>
      <x:c r="D14" s="4"/>
      <x:c r="E14" s="4"/>
      <x:c r="F14" s="4"/>
      <x:c r="G14" s="4"/>
      <x:c r="H14" s="4"/>
      <x:c r="I14" s="4"/>
      <x:c r="J14" s="4"/>
      <x:c r="K14" s="4"/>
      <x:c r="L14" s="4"/>
    </x:row>
    <x:row r="15" ht="22" customHeight="1">
      <x:c r="A15" s="4"/>
      <x:c r="B15" s="4"/>
      <x:c r="C15" s="4"/>
      <x:c r="D15" s="4"/>
      <x:c r="E15" s="4"/>
      <x:c r="F15" s="4"/>
      <x:c r="G15" s="4"/>
      <x:c r="H15" s="4"/>
      <x:c r="I15" s="4"/>
      <x:c r="J15" s="4"/>
      <x:c r="K15" s="4"/>
      <x:c r="L15" s="4"/>
    </x:row>
    <x:row r="16" ht="22" customHeight="1">
      <x:c r="A16" s="4"/>
      <x:c r="B16" s="4"/>
      <x:c r="C16" s="4"/>
      <x:c r="D16" s="4"/>
      <x:c r="E16" s="4"/>
      <x:c r="F16" s="4"/>
      <x:c r="G16" s="4"/>
      <x:c r="H16" s="4"/>
      <x:c r="I16" s="4"/>
      <x:c r="J16" s="4"/>
      <x:c r="K16" s="4"/>
      <x:c r="L16" s="4"/>
    </x:row>
    <x:row r="17" ht="22" customHeight="1">
      <x:c r="A17" s="4"/>
      <x:c r="B17" s="4"/>
      <x:c r="C17" s="4"/>
      <x:c r="D17" s="4"/>
      <x:c r="E17" s="4"/>
      <x:c r="F17" s="4"/>
      <x:c r="G17" s="4"/>
      <x:c r="H17" s="4"/>
      <x:c r="I17" s="4"/>
      <x:c r="J17" s="4"/>
      <x:c r="K17" s="4"/>
      <x:c r="L17" s="4"/>
    </x:row>
    <x:row r="18" ht="22" customHeight="1">
      <x:c r="A18" s="4"/>
      <x:c r="B18" s="4"/>
      <x:c r="C18" s="4"/>
      <x:c r="D18" s="4"/>
      <x:c r="E18" s="4"/>
      <x:c r="F18" s="4"/>
      <x:c r="G18" s="4"/>
      <x:c r="H18" s="4"/>
      <x:c r="I18" s="4"/>
      <x:c r="J18" s="4"/>
      <x:c r="K18" s="4"/>
      <x:c r="L18" s="4"/>
    </x:row>
    <x:row r="19" ht="22" customHeight="1">
      <x:c r="A19" s="4"/>
      <x:c r="B19" s="4"/>
      <x:c r="C19" s="4"/>
      <x:c r="D19" s="4"/>
      <x:c r="E19" s="4"/>
      <x:c r="F19" s="4"/>
      <x:c r="G19" s="4"/>
      <x:c r="H19" s="4"/>
      <x:c r="I19" s="4"/>
      <x:c r="J19" s="4"/>
      <x:c r="K19" s="4"/>
      <x:c r="L19" s="4"/>
    </x:row>
    <x:row r="20" ht="22" customHeight="1">
      <x:c r="A20" s="4"/>
      <x:c r="B20" s="4"/>
      <x:c r="C20" s="4"/>
      <x:c r="D20" s="4"/>
      <x:c r="E20" s="4"/>
      <x:c r="F20" s="4"/>
      <x:c r="G20" s="4"/>
      <x:c r="H20" s="4"/>
      <x:c r="I20" s="4"/>
      <x:c r="J20" s="4"/>
      <x:c r="K20" s="4"/>
      <x:c r="L20" s="4"/>
    </x:row>
    <x:row r="21" ht="22" customHeight="1">
      <x:c r="A21" s="4"/>
      <x:c r="B21" s="4"/>
      <x:c r="C21" s="4"/>
      <x:c r="D21" s="4"/>
      <x:c r="E21" s="4"/>
      <x:c r="F21" s="4"/>
      <x:c r="G21" s="4"/>
      <x:c r="H21" s="4"/>
      <x:c r="I21" s="4"/>
      <x:c r="J21" s="4"/>
      <x:c r="K21" s="4"/>
      <x:c r="L21" s="4"/>
    </x:row>
    <x:row r="22" ht="22" customHeight="1">
      <x:c r="A22" s="4"/>
      <x:c r="B22" s="4"/>
      <x:c r="C22" s="4"/>
      <x:c r="D22" s="4"/>
      <x:c r="E22" s="4"/>
      <x:c r="F22" s="4"/>
      <x:c r="G22" s="4"/>
      <x:c r="H22" s="4"/>
      <x:c r="I22" s="4"/>
      <x:c r="J22" s="4"/>
      <x:c r="K22" s="4"/>
      <x:c r="L22" s="4"/>
    </x:row>
    <x:row r="23" ht="22" customHeight="1">
      <x:c r="A23" s="4"/>
      <x:c r="B23" s="4"/>
      <x:c r="C23" s="4"/>
      <x:c r="D23" s="4"/>
      <x:c r="E23" s="4"/>
      <x:c r="F23" s="4"/>
      <x:c r="G23" s="4"/>
      <x:c r="H23" s="4"/>
      <x:c r="I23" s="4"/>
      <x:c r="J23" s="4"/>
      <x:c r="K23" s="4"/>
      <x:c r="L23" s="4"/>
    </x:row>
    <x:row r="24" ht="22" customHeight="1">
      <x:c r="A24" s="4"/>
      <x:c r="B24" s="4"/>
      <x:c r="C24" s="4"/>
      <x:c r="D24" s="4"/>
      <x:c r="E24" s="4"/>
      <x:c r="F24" s="4"/>
      <x:c r="G24" s="4"/>
      <x:c r="H24" s="4"/>
      <x:c r="I24" s="4"/>
      <x:c r="J24" s="4"/>
      <x:c r="K24" s="4"/>
      <x:c r="L24" s="4"/>
    </x:row>
    <x:row r="25" ht="22" customHeight="1">
      <x:c r="A25" s="4"/>
      <x:c r="B25" s="4"/>
      <x:c r="C25" s="4"/>
      <x:c r="D25" s="4"/>
      <x:c r="E25" s="4"/>
      <x:c r="F25" s="4"/>
      <x:c r="G25" s="4"/>
      <x:c r="H25" s="4"/>
      <x:c r="I25" s="4"/>
      <x:c r="J25" s="4"/>
      <x:c r="K25" s="4"/>
      <x:c r="L25" s="4"/>
    </x:row>
    <x:row r="26" ht="22" customHeight="1">
      <x:c r="A26" s="4"/>
      <x:c r="B26" s="4"/>
      <x:c r="C26" s="4"/>
      <x:c r="D26" s="4"/>
      <x:c r="E26" s="4"/>
      <x:c r="F26" s="4"/>
      <x:c r="G26" s="4"/>
      <x:c r="H26" s="4"/>
      <x:c r="I26" s="4"/>
      <x:c r="J26" s="4"/>
      <x:c r="K26" s="4"/>
      <x:c r="L26" s="4"/>
    </x:row>
    <x:row r="27" ht="22" customHeight="1">
      <x:c r="A27" s="4"/>
      <x:c r="B27" s="4"/>
      <x:c r="C27" s="4"/>
      <x:c r="D27" s="4"/>
      <x:c r="E27" s="4"/>
      <x:c r="F27" s="4"/>
      <x:c r="G27" s="4"/>
      <x:c r="H27" s="4"/>
      <x:c r="I27" s="4"/>
      <x:c r="J27" s="4"/>
      <x:c r="K27" s="4"/>
      <x:c r="L27" s="4"/>
    </x:row>
    <x:row r="28" ht="22" customHeight="1">
      <x:c r="A28" s="4"/>
      <x:c r="B28" s="4"/>
      <x:c r="C28" s="4"/>
      <x:c r="D28" s="4"/>
      <x:c r="E28" s="4"/>
      <x:c r="F28" s="4"/>
      <x:c r="G28" s="4"/>
      <x:c r="H28" s="4"/>
      <x:c r="I28" s="4"/>
      <x:c r="J28" s="4"/>
      <x:c r="K28" s="4"/>
      <x:c r="L28" s="4"/>
    </x:row>
    <x:row r="29" ht="22" customHeight="1">
      <x:c r="A29" s="4"/>
      <x:c r="B29" s="4"/>
      <x:c r="C29" s="4"/>
      <x:c r="D29" s="4"/>
      <x:c r="E29" s="4"/>
      <x:c r="F29" s="4"/>
      <x:c r="G29" s="4"/>
      <x:c r="H29" s="4"/>
      <x:c r="I29" s="4"/>
      <x:c r="J29" s="4"/>
      <x:c r="K29" s="4"/>
      <x:c r="L29" s="4"/>
    </x:row>
    <x:row r="30" ht="22" customHeight="1">
      <x:c r="A30" s="4"/>
      <x:c r="B30" s="4"/>
      <x:c r="C30" s="4"/>
      <x:c r="D30" s="4"/>
      <x:c r="E30" s="4"/>
      <x:c r="F30" s="4"/>
      <x:c r="G30" s="4"/>
      <x:c r="H30" s="4"/>
      <x:c r="I30" s="4"/>
      <x:c r="J30" s="4"/>
      <x:c r="K30" s="4"/>
      <x:c r="L30" s="4"/>
    </x:row>
  </x:sheetData>
  <x:mergeCells>
    <x:mergeCell ref="B2:K4"/>
    <x:mergeCell ref="B6:K7"/>
    <x:mergeCell ref="B10:D12"/>
    <x:mergeCell ref="E10:G12"/>
    <x:mergeCell ref="H10:K12"/>
  </x:mergeCells>
  <x:pageMargins left="0.7" right="0.7" top="0.75" bottom="0.75" header="0.3" footer="0.3"/>
</x:worksheet>
</file>

<file path=xl/worksheets/sheet2.xml><?xml version="1.0" encoding="utf-8"?>
<x:worksheet xmlns:x="http://schemas.openxmlformats.org/spreadsheetml/2006/main">
  <x:sheetFormatPr defaultRowHeight="15"/>
  <x:cols>
    <x:col min="1" max="1" width="3" hidden="0" customWidth="1"/>
    <x:col min="2" max="2" width="15" hidden="0" customWidth="1"/>
    <x:col min="3" max="3" width="16" hidden="0" customWidth="1"/>
    <x:col min="4" max="4" width="16" hidden="0" customWidth="1"/>
    <x:col min="5" max="5" width="13" hidden="0" customWidth="1"/>
    <x:col min="6" max="6" width="13" hidden="0" customWidth="1"/>
    <x:col min="7" max="7" width="13" hidden="0" customWidth="1"/>
    <x:col min="8" max="8" width="15" hidden="0" customWidth="1"/>
    <x:col min="9" max="9" width="18" hidden="0" customWidth="1"/>
    <x:col min="10" max="10" width="28" hidden="0" customWidth="1"/>
    <x:col min="11" max="11" width="16" hidden="0" customWidth="1"/>
    <x:col min="12" max="12" width="16" hidden="0" customWidth="1"/>
    <x:col min="13" max="13" width="16" hidden="0" customWidth="1"/>
    <x:col min="14" max="14" width="3" hidden="0" customWidth="1"/>
  </x:cols>
  <x:sheetData>
    <x:row r="1" ht="22" customHeight="1">
      <x:c r="A1" s="4"/>
      <x:c r="B1" s="4"/>
      <x:c r="C1" s="4"/>
      <x:c r="D1" s="4"/>
      <x:c r="E1" s="4"/>
      <x:c r="F1" s="4"/>
      <x:c r="G1" s="4"/>
      <x:c r="H1" s="4"/>
      <x:c r="I1" s="4"/>
      <x:c r="J1" s="4"/>
      <x:c r="K1" s="4"/>
      <x:c r="L1" s="4"/>
      <x:c r="M1" s="4"/>
      <x:c r="N1" s="4"/>
    </x:row>
    <x:row r="2" ht="28" customHeight="1">
      <x:c r="A2" s="4"/>
      <x:c r="B2" s="56" t="str">
        <x:v>STRUCTURE</x:v>
      </x:c>
      <x:c r="C2" s="4"/>
      <x:c r="D2" s="4"/>
      <x:c r="E2" s="4"/>
      <x:c r="F2" s="4"/>
      <x:c r="G2" s="4"/>
      <x:c r="H2" s="4"/>
      <x:c r="I2" s="4"/>
      <x:c r="J2" s="4"/>
      <x:c r="K2" s="4"/>
      <x:c r="L2" s="4"/>
      <x:c r="M2" s="4"/>
      <x:c r="N2" s="4"/>
    </x:row>
    <x:row r="3" ht="28" customHeight="1">
      <x:c r="A3" s="4"/>
      <x:c r="B3" s="4"/>
      <x:c r="C3" s="4"/>
      <x:c r="D3" s="4"/>
      <x:c r="E3" s="4"/>
      <x:c r="F3" s="4"/>
      <x:c r="G3" s="4"/>
      <x:c r="H3" s="4"/>
      <x:c r="I3" s="4"/>
      <x:c r="J3" s="4"/>
      <x:c r="K3" s="4"/>
      <x:c r="L3" s="4"/>
      <x:c r="M3" s="4"/>
      <x:c r="N3" s="4"/>
    </x:row>
    <x:row r="4" ht="28" customHeight="1">
      <x:c r="A4" s="4"/>
      <x:c r="B4" s="24" t="str">
        <x:v>Définition de la poutre, des appuis et vérification rapide de l’isostatisme</x:v>
      </x:c>
      <x:c r="C4" s="4"/>
      <x:c r="D4" s="4"/>
      <x:c r="E4" s="4"/>
      <x:c r="F4" s="4"/>
      <x:c r="G4" s="4"/>
      <x:c r="H4" s="4"/>
      <x:c r="I4" s="4"/>
      <x:c r="J4" s="4"/>
      <x:c r="K4" s="4"/>
      <x:c r="L4" s="4"/>
      <x:c r="M4" s="4"/>
      <x:c r="N4" s="4"/>
    </x:row>
    <x:row r="5" ht="28" customHeight="1">
      <x:c r="A5" s="4"/>
      <x:c r="B5" s="4"/>
      <x:c r="C5" s="4"/>
      <x:c r="D5" s="4"/>
      <x:c r="E5" s="4"/>
      <x:c r="F5" s="4"/>
      <x:c r="G5" s="4"/>
      <x:c r="H5" s="4"/>
      <x:c r="I5" s="4"/>
      <x:c r="J5" s="4"/>
      <x:c r="K5" s="4"/>
      <x:c r="L5" s="4"/>
      <x:c r="M5" s="4"/>
      <x:c r="N5" s="4"/>
    </x:row>
    <x:row r="6" ht="22" customHeight="1">
      <x:c r="A6" s="4"/>
      <x:c r="B6" s="4"/>
      <x:c r="C6" s="4"/>
      <x:c r="D6" s="4"/>
      <x:c r="E6" s="4"/>
      <x:c r="F6" s="4"/>
      <x:c r="G6" s="4"/>
      <x:c r="H6" s="4"/>
      <x:c r="I6" s="4"/>
      <x:c r="J6" s="4"/>
      <x:c r="K6" s="4"/>
      <x:c r="L6" s="4"/>
      <x:c r="M6" s="4"/>
      <x:c r="N6" s="4"/>
    </x:row>
    <x:row r="7" ht="22" customHeight="1">
      <x:c r="A7" s="4"/>
      <x:c r="B7" s="62" t="str">
        <x:v>← Accueil</x:v>
      </x:c>
      <x:c r="C7" s="4"/>
      <x:c r="D7" s="4"/>
      <x:c r="E7" s="70" t="str">
        <x:v>Nettoyer la saisie</x:v>
      </x:c>
      <x:c r="F7" s="4"/>
      <x:c r="G7" s="4"/>
      <x:c r="H7" s="40" t="str">
        <x:v>Vérifier structure</x:v>
      </x:c>
      <x:c r="I7" s="4"/>
      <x:c r="J7" s="4"/>
      <x:c r="K7" s="32" t="str">
        <x:v>Suivant : charges →</x:v>
      </x:c>
      <x:c r="L7" s="4"/>
      <x:c r="M7" s="4"/>
      <x:c r="N7" s="4"/>
    </x:row>
    <x:row r="8" ht="22" customHeight="1">
      <x:c r="A8" s="4"/>
      <x:c r="B8" s="4"/>
      <x:c r="C8" s="4"/>
      <x:c r="D8" s="4"/>
      <x:c r="E8" s="4"/>
      <x:c r="F8" s="4"/>
      <x:c r="G8" s="4"/>
      <x:c r="H8" s="4"/>
      <x:c r="I8" s="4"/>
      <x:c r="J8" s="4"/>
      <x:c r="K8" s="4"/>
      <x:c r="L8" s="4"/>
      <x:c r="M8" s="4"/>
      <x:c r="N8" s="4"/>
    </x:row>
    <x:row r="9" ht="22" customHeight="1">
      <x:c r="A9" s="4"/>
      <x:c r="B9" s="4"/>
      <x:c r="C9" s="4"/>
      <x:c r="D9" s="4"/>
      <x:c r="E9" s="4"/>
      <x:c r="F9" s="4"/>
      <x:c r="G9" s="4"/>
      <x:c r="H9" s="4"/>
      <x:c r="I9" s="4"/>
      <x:c r="J9" s="4"/>
      <x:c r="K9" s="4"/>
      <x:c r="L9" s="4"/>
      <x:c r="M9" s="4"/>
      <x:c r="N9" s="4"/>
    </x:row>
    <x:row r="10" ht="28" customHeight="1">
      <x:c r="A10" s="4"/>
      <x:c r="B10" s="76" t="str">
        <x:v>1. DONNÉES GÉNÉRALES DE LA POUTRE</x:v>
      </x:c>
      <x:c r="C10" s="4"/>
      <x:c r="D10" s="4"/>
      <x:c r="E10" s="4"/>
      <x:c r="F10" s="4"/>
      <x:c r="G10" s="4"/>
      <x:c r="H10" s="4"/>
      <x:c r="I10" s="4"/>
      <x:c r="J10" s="4"/>
      <x:c r="K10" s="4"/>
      <x:c r="L10" s="4"/>
      <x:c r="M10" s="4"/>
      <x:c r="N10" s="4"/>
    </x:row>
    <x:row r="11" ht="22" customHeight="1">
      <x:c r="A11" s="4"/>
      <x:c r="B11" s="4"/>
      <x:c r="C11" s="4"/>
      <x:c r="D11" s="4"/>
      <x:c r="E11" s="4"/>
      <x:c r="F11" s="4"/>
      <x:c r="G11" s="4"/>
      <x:c r="H11" s="4"/>
      <x:c r="I11" s="4"/>
      <x:c r="J11" s="4"/>
      <x:c r="K11" s="4"/>
      <x:c r="L11" s="4"/>
      <x:c r="M11" s="4"/>
      <x:c r="N11" s="4"/>
    </x:row>
    <x:row r="12" ht="22" customHeight="1">
      <x:c r="A12" s="4"/>
      <x:c r="B12" s="58" t="str">
        <x:v>Paramètre</x:v>
      </x:c>
      <x:c r="C12" s="58" t="str">
        <x:v>Valeur</x:v>
      </x:c>
      <x:c r="D12" s="58" t="str">
        <x:v>Unité</x:v>
      </x:c>
      <x:c r="E12" s="4"/>
      <x:c r="F12" s="104" t="str">
        <x:v>Convention : x est mesuré depuis l’extrémité gauche. Les positions d’appui doivent être comprises entre 0 et L.</x:v>
      </x:c>
      <x:c r="G12" s="4"/>
      <x:c r="H12" s="4"/>
      <x:c r="I12" s="4"/>
      <x:c r="J12" s="4"/>
      <x:c r="K12" s="4"/>
      <x:c r="L12" s="4"/>
      <x:c r="M12" s="4"/>
      <x:c r="N12" s="4"/>
    </x:row>
    <x:row r="13" ht="22" customHeight="1">
      <x:c r="A13" s="4"/>
      <x:c r="B13" s="82" t="str">
        <x:v>Longueur de la poutre L</x:v>
      </x:c>
      <x:c r="C13" s="98" t="n">
        <x:v>10</x:v>
      </x:c>
      <x:c r="D13" s="94" t="str">
        <x:v>m</x:v>
      </x:c>
      <x:c r="E13" s="4"/>
      <x:c r="F13" s="4"/>
      <x:c r="G13" s="4"/>
      <x:c r="H13" s="4"/>
      <x:c r="I13" s="4"/>
      <x:c r="J13" s="4"/>
      <x:c r="K13" s="4"/>
      <x:c r="L13" s="4"/>
      <x:c r="M13" s="4"/>
      <x:c r="N13" s="4"/>
    </x:row>
    <x:row r="14" ht="22" customHeight="1">
      <x:c r="A14" s="4"/>
      <x:c r="B14" s="82" t="str">
        <x:v>Nombre de points diagrammes</x:v>
      </x:c>
      <x:c r="C14" s="98" t="n">
        <x:v>100</x:v>
      </x:c>
      <x:c r="D14" s="94" t="str">
        <x:v>-</x:v>
      </x:c>
      <x:c r="E14" s="4"/>
      <x:c r="F14" s="4"/>
      <x:c r="G14" s="4"/>
      <x:c r="H14" s="4"/>
      <x:c r="I14" s="4"/>
      <x:c r="J14" s="4"/>
      <x:c r="K14" s="4"/>
      <x:c r="L14" s="4"/>
      <x:c r="M14" s="4"/>
      <x:c r="N14" s="4"/>
    </x:row>
    <x:row r="15" ht="22" customHeight="1">
      <x:c r="A15" s="4"/>
      <x:c r="B15" s="4"/>
      <x:c r="C15" s="4"/>
      <x:c r="D15" s="4"/>
      <x:c r="E15" s="4"/>
      <x:c r="F15" s="4"/>
      <x:c r="G15" s="4"/>
      <x:c r="H15" s="4"/>
      <x:c r="I15" s="4"/>
      <x:c r="J15" s="4"/>
      <x:c r="K15" s="4"/>
      <x:c r="L15" s="4"/>
      <x:c r="M15" s="4"/>
      <x:c r="N15" s="4"/>
    </x:row>
    <x:row r="16" ht="22" customHeight="1">
      <x:c r="A16" s="4"/>
      <x:c r="B16" s="4"/>
      <x:c r="C16" s="4"/>
      <x:c r="D16" s="4"/>
      <x:c r="E16" s="4"/>
      <x:c r="F16" s="4"/>
      <x:c r="G16" s="4"/>
      <x:c r="H16" s="4"/>
      <x:c r="I16" s="4"/>
      <x:c r="J16" s="4"/>
      <x:c r="K16" s="4"/>
      <x:c r="L16" s="4"/>
      <x:c r="M16" s="4"/>
      <x:c r="N16" s="4"/>
    </x:row>
    <x:row r="17" ht="28" customHeight="1">
      <x:c r="A17" s="4"/>
      <x:c r="B17" s="76" t="str">
        <x:v>2. DÉFINITION DES APPUIS</x:v>
      </x:c>
      <x:c r="C17" s="4"/>
      <x:c r="D17" s="4"/>
      <x:c r="E17" s="4"/>
      <x:c r="F17" s="4"/>
      <x:c r="G17" s="4"/>
      <x:c r="H17" s="4"/>
      <x:c r="I17" s="4"/>
      <x:c r="J17" s="4"/>
      <x:c r="K17" s="4"/>
      <x:c r="L17" s="4"/>
      <x:c r="M17" s="4"/>
      <x:c r="N17" s="4"/>
    </x:row>
    <x:row r="18" ht="22" customHeight="1">
      <x:c r="A18" s="4"/>
      <x:c r="B18" s="4"/>
      <x:c r="C18" s="4"/>
      <x:c r="D18" s="4"/>
      <x:c r="E18" s="4"/>
      <x:c r="F18" s="4"/>
      <x:c r="G18" s="4"/>
      <x:c r="H18" s="4"/>
      <x:c r="I18" s="4"/>
      <x:c r="J18" s="4"/>
      <x:c r="K18" s="4"/>
      <x:c r="L18" s="4"/>
      <x:c r="M18" s="4"/>
      <x:c r="N18" s="4"/>
    </x:row>
    <x:row r="19" ht="26" customHeight="1">
      <x:c r="A19" s="4"/>
      <x:c r="B19" s="60" t="str">
        <x:v>Nom</x:v>
      </x:c>
      <x:c r="C19" s="60" t="str">
        <x:v>Type d’appui</x:v>
      </x:c>
      <x:c r="D19" s="60" t="str">
        <x:v>Position x</x:v>
      </x:c>
      <x:c r="E19" s="60" t="str">
        <x:v>Rx ?</x:v>
      </x:c>
      <x:c r="F19" s="60" t="str">
        <x:v>Ry ?</x:v>
      </x:c>
      <x:c r="G19" s="60" t="str">
        <x:v>Moment ?</x:v>
      </x:c>
      <x:c r="H19" s="60" t="str">
        <x:v>Nb réactions</x:v>
      </x:c>
      <x:c r="I19" s="60" t="str">
        <x:v>Contrôle position</x:v>
      </x:c>
      <x:c r="J19" s="60" t="str">
        <x:v>Réactions générées</x:v>
      </x:c>
      <x:c r="K19" s="4"/>
      <x:c r="L19" s="4"/>
      <x:c r="M19" s="4"/>
      <x:c r="N19" s="4"/>
    </x:row>
    <x:row r="20" ht="26" customHeight="1">
      <x:c r="A20" s="4"/>
      <x:c r="B20" s="106" t="str">
        <x:v>A</x:v>
      </x:c>
      <x:c r="C20" s="106" t="str">
        <x:v>Rotule</x:v>
      </x:c>
      <x:c r="D20" s="110" t="n">
        <x:v>0</x:v>
      </x:c>
      <x:c r="E20" s="112" t="n">
        <x:f>IF(C20="Rotule",1,IF(C20="Encastrement",1,0))</x:f>
        <x:v>1</x:v>
      </x:c>
      <x:c r="F20" s="112" t="n">
        <x:f>IF(OR(C20="Rotule",C20="Rouleau",C20="Encastrement"),1,0)</x:f>
        <x:v>1</x:v>
      </x:c>
      <x:c r="G20" s="112" t="n">
        <x:f>IF(C20="Encastrement",1,0)</x:f>
        <x:v>0</x:v>
      </x:c>
      <x:c r="H20" s="112" t="n">
        <x:f>SUM(E20:G20)</x:f>
        <x:v>2</x:v>
      </x:c>
      <x:c r="I20" s="107" t="str">
        <x:f>IF(D20="","",IF(AND(D20&gt;=0,D20&lt;=$C$13),"OK","Hors poutre"))</x:f>
      </x:c>
      <x:c r="J20" s="107" t="str">
        <x:f>IF(C20="Rouleau",B20&amp;"y",IF(C20="Rotule",B20&amp;"x, "&amp;B20&amp;"y",IF(C20="Encastrement",B20&amp;"x, "&amp;B20&amp;"y, M"&amp;B20,"")))</x:f>
        <x:v>Ax, Ay</x:v>
      </x:c>
      <x:c r="K20" s="4"/>
      <x:c r="L20" s="4"/>
      <x:c r="M20" s="4"/>
      <x:c r="N20" s="4"/>
    </x:row>
    <x:row r="21" ht="26" customHeight="1">
      <x:c r="A21" s="4"/>
      <x:c r="B21" s="106" t="str">
        <x:v>B</x:v>
      </x:c>
      <x:c r="C21" s="106" t="str">
        <x:v>Rouleau</x:v>
      </x:c>
      <x:c r="D21" s="110" t="n">
        <x:v>10</x:v>
      </x:c>
      <x:c r="E21" s="112" t="n">
        <x:f>IF(C21="Rotule",1,IF(C21="Encastrement",1,0))</x:f>
        <x:v>0</x:v>
      </x:c>
      <x:c r="F21" s="112" t="n">
        <x:f>IF(OR(C21="Rotule",C21="Rouleau",C21="Encastrement"),1,0)</x:f>
        <x:v>1</x:v>
      </x:c>
      <x:c r="G21" s="112" t="n">
        <x:f>IF(C21="Encastrement",1,0)</x:f>
        <x:v>0</x:v>
      </x:c>
      <x:c r="H21" s="112" t="n">
        <x:f>SUM(E21:G21)</x:f>
        <x:v>1</x:v>
      </x:c>
      <x:c r="I21" s="107" t="str">
        <x:f>IF(D21="","",IF(AND(D21&gt;=0,D21&lt;=$C$13),"OK","Hors poutre"))</x:f>
        <x:v>OK</x:v>
      </x:c>
      <x:c r="J21" s="107" t="str">
        <x:f>IF(C21="Rouleau",B21&amp;"y",IF(C21="Rotule",B21&amp;"x, "&amp;B21&amp;"y",IF(C21="Encastrement",B21&amp;"x, "&amp;B21&amp;"y, M"&amp;B21,"")))</x:f>
        <x:v>By</x:v>
      </x:c>
      <x:c r="K21" s="4"/>
      <x:c r="L21" s="4"/>
      <x:c r="M21" s="4"/>
      <x:c r="N21" s="4"/>
    </x:row>
    <x:row r="22" ht="26" customHeight="1">
      <x:c r="A22" s="4"/>
      <x:c r="B22" s="106"/>
      <x:c r="C22" s="106"/>
      <x:c r="D22" s="110"/>
      <x:c r="E22" s="112" t="n">
        <x:f>IF(C22="Rotule",1,IF(C22="Encastrement",1,0))</x:f>
        <x:v>0</x:v>
      </x:c>
      <x:c r="F22" s="112" t="n">
        <x:f>IF(OR(C22="Rotule",C22="Rouleau",C22="Encastrement"),1,0)</x:f>
        <x:v>0</x:v>
      </x:c>
      <x:c r="G22" s="112" t="n">
        <x:f>IF(C22="Encastrement",1,0)</x:f>
        <x:v>0</x:v>
      </x:c>
      <x:c r="H22" s="112" t="n">
        <x:f>SUM(E22:G22)</x:f>
        <x:v>0</x:v>
      </x:c>
      <x:c r="I22" s="107" t="str">
        <x:f>IF(D22="","",IF(AND(D22&gt;=0,D22&lt;=$C$13),"OK","Hors poutre"))</x:f>
      </x:c>
      <x:c r="J22" s="107" t="str">
        <x:f>IF(C22="Rouleau",B22&amp;"y",IF(C22="Rotule",B22&amp;"x, "&amp;B22&amp;"y",IF(C22="Encastrement",B22&amp;"x, "&amp;B22&amp;"y, M"&amp;B22,"")))</x:f>
      </x:c>
      <x:c r="K22" s="4"/>
      <x:c r="L22" s="4"/>
      <x:c r="M22" s="4"/>
      <x:c r="N22" s="4"/>
    </x:row>
    <x:row r="23" ht="26" customHeight="1">
      <x:c r="A23" s="4"/>
      <x:c r="B23" s="106"/>
      <x:c r="C23" s="106"/>
      <x:c r="D23" s="110"/>
      <x:c r="E23" s="112" t="n">
        <x:f>IF(C23="Rotule",1,IF(C23="Encastrement",1,0))</x:f>
        <x:v>0</x:v>
      </x:c>
      <x:c r="F23" s="112" t="n">
        <x:f>IF(OR(C23="Rotule",C23="Rouleau",C23="Encastrement"),1,0)</x:f>
        <x:v>0</x:v>
      </x:c>
      <x:c r="G23" s="112" t="n">
        <x:f>IF(C23="Encastrement",1,0)</x:f>
        <x:v>0</x:v>
      </x:c>
      <x:c r="H23" s="112" t="n">
        <x:f>SUM(E23:G23)</x:f>
        <x:v>0</x:v>
      </x:c>
      <x:c r="I23" s="107" t="str">
        <x:f>IF(D23="","",IF(AND(D23&gt;=0,D23&lt;=$C$13),"OK","Hors poutre"))</x:f>
      </x:c>
      <x:c r="J23" s="107" t="str">
        <x:f>IF(C23="Rouleau",B23&amp;"y",IF(C23="Rotule",B23&amp;"x, "&amp;B23&amp;"y",IF(C23="Encastrement",B23&amp;"x, "&amp;B23&amp;"y, M"&amp;B23,"")))</x:f>
      </x:c>
      <x:c r="K23" s="4"/>
      <x:c r="L23" s="4"/>
      <x:c r="M23" s="4"/>
      <x:c r="N23" s="4"/>
    </x:row>
    <x:row r="24" ht="26" customHeight="1">
      <x:c r="A24" s="4"/>
      <x:c r="B24" s="106"/>
      <x:c r="C24" s="106"/>
      <x:c r="D24" s="110"/>
      <x:c r="E24" s="112" t="n">
        <x:f>IF(C24="Rotule",1,IF(C24="Encastrement",1,0))</x:f>
        <x:v>0</x:v>
      </x:c>
      <x:c r="F24" s="112" t="n">
        <x:f>IF(OR(C24="Rotule",C24="Rouleau",C24="Encastrement"),1,0)</x:f>
        <x:v>0</x:v>
      </x:c>
      <x:c r="G24" s="112" t="n">
        <x:f>IF(C24="Encastrement",1,0)</x:f>
        <x:v>0</x:v>
      </x:c>
      <x:c r="H24" s="112" t="n">
        <x:f>SUM(E24:G24)</x:f>
        <x:v>0</x:v>
      </x:c>
      <x:c r="I24" s="107" t="str">
        <x:f>IF(D24="","",IF(AND(D24&gt;=0,D24&lt;=$C$13),"OK","Hors poutre"))</x:f>
      </x:c>
      <x:c r="J24" s="107" t="str">
        <x:f>IF(C24="Rouleau",B24&amp;"y",IF(C24="Rotule",B24&amp;"x, "&amp;B24&amp;"y",IF(C24="Encastrement",B24&amp;"x, "&amp;B24&amp;"y, M"&amp;B24,"")))</x:f>
      </x:c>
      <x:c r="K24" s="4"/>
      <x:c r="L24" s="4"/>
      <x:c r="M24" s="4"/>
      <x:c r="N24" s="4"/>
    </x:row>
    <x:row r="25" ht="26" customHeight="1">
      <x:c r="A25" s="4"/>
      <x:c r="B25" s="106"/>
      <x:c r="C25" s="106"/>
      <x:c r="D25" s="110"/>
      <x:c r="E25" s="112" t="n">
        <x:f>IF(C25="Rotule",1,IF(C25="Encastrement",1,0))</x:f>
        <x:v>0</x:v>
      </x:c>
      <x:c r="F25" s="112" t="n">
        <x:f>IF(OR(C25="Rotule",C25="Rouleau",C25="Encastrement"),1,0)</x:f>
        <x:v>0</x:v>
      </x:c>
      <x:c r="G25" s="112" t="n">
        <x:f>IF(C25="Encastrement",1,0)</x:f>
        <x:v>0</x:v>
      </x:c>
      <x:c r="H25" s="112" t="n">
        <x:f>SUM(E25:G25)</x:f>
        <x:v>0</x:v>
      </x:c>
      <x:c r="I25" s="107" t="str">
        <x:f>IF(D25="","",IF(AND(D25&gt;=0,D25&lt;=$C$13),"OK","Hors poutre"))</x:f>
      </x:c>
      <x:c r="J25" s="107" t="str">
        <x:f>IF(C25="Rouleau",B25&amp;"y",IF(C25="Rotule",B25&amp;"x, "&amp;B25&amp;"y",IF(C25="Encastrement",B25&amp;"x, "&amp;B25&amp;"y, M"&amp;B25,"")))</x:f>
      </x:c>
      <x:c r="K25" s="4"/>
      <x:c r="L25" s="4"/>
      <x:c r="M25" s="4"/>
      <x:c r="N25" s="4"/>
    </x:row>
    <x:row r="26" ht="26" customHeight="1">
      <x:c r="A26" s="4"/>
      <x:c r="B26" s="106"/>
      <x:c r="C26" s="106"/>
      <x:c r="D26" s="110"/>
      <x:c r="E26" s="112" t="n">
        <x:f>IF(C26="Rotule",1,IF(C26="Encastrement",1,0))</x:f>
        <x:v>0</x:v>
      </x:c>
      <x:c r="F26" s="112" t="n">
        <x:f>IF(OR(C26="Rotule",C26="Rouleau",C26="Encastrement"),1,0)</x:f>
        <x:v>0</x:v>
      </x:c>
      <x:c r="G26" s="112" t="n">
        <x:f>IF(C26="Encastrement",1,0)</x:f>
        <x:v>0</x:v>
      </x:c>
      <x:c r="H26" s="112" t="n">
        <x:f>SUM(E26:G26)</x:f>
        <x:v>0</x:v>
      </x:c>
      <x:c r="I26" s="107" t="str">
        <x:f>IF(D26="","",IF(AND(D26&gt;=0,D26&lt;=$C$13),"OK","Hors poutre"))</x:f>
      </x:c>
      <x:c r="J26" s="107" t="str">
        <x:f>IF(C26="Rouleau",B26&amp;"y",IF(C26="Rotule",B26&amp;"x, "&amp;B26&amp;"y",IF(C26="Encastrement",B26&amp;"x, "&amp;B26&amp;"y, M"&amp;B26,"")))</x:f>
      </x:c>
      <x:c r="K26" s="4"/>
      <x:c r="L26" s="4"/>
      <x:c r="M26" s="4"/>
      <x:c r="N26" s="4"/>
    </x:row>
    <x:row r="27" ht="26" customHeight="1">
      <x:c r="A27" s="4"/>
      <x:c r="B27" s="106"/>
      <x:c r="C27" s="106"/>
      <x:c r="D27" s="110"/>
      <x:c r="E27" s="112" t="n">
        <x:f>IF(C27="Rotule",1,IF(C27="Encastrement",1,0))</x:f>
        <x:v>0</x:v>
      </x:c>
      <x:c r="F27" s="112" t="n">
        <x:f>IF(OR(C27="Rotule",C27="Rouleau",C27="Encastrement"),1,0)</x:f>
        <x:v>0</x:v>
      </x:c>
      <x:c r="G27" s="112" t="n">
        <x:f>IF(C27="Encastrement",1,0)</x:f>
        <x:v>0</x:v>
      </x:c>
      <x:c r="H27" s="112" t="n">
        <x:f>SUM(E27:G27)</x:f>
        <x:v>0</x:v>
      </x:c>
      <x:c r="I27" s="107" t="str">
        <x:f>IF(D27="","",IF(AND(D27&gt;=0,D27&lt;=$C$13),"OK","Hors poutre"))</x:f>
      </x:c>
      <x:c r="J27" s="107" t="str">
        <x:f>IF(C27="Rouleau",B27&amp;"y",IF(C27="Rotule",B27&amp;"x, "&amp;B27&amp;"y",IF(C27="Encastrement",B27&amp;"x, "&amp;B27&amp;"y, M"&amp;B27,"")))</x:f>
      </x:c>
      <x:c r="K27" s="4"/>
      <x:c r="L27" s="4"/>
      <x:c r="M27" s="4"/>
      <x:c r="N27" s="4"/>
    </x:row>
    <x:row r="28" ht="26" customHeight="1">
      <x:c r="A28" s="4"/>
      <x:c r="B28" s="106"/>
      <x:c r="C28" s="106"/>
      <x:c r="D28" s="110"/>
      <x:c r="E28" s="112" t="n">
        <x:f>IF(C28="Rotule",1,IF(C28="Encastrement",1,0))</x:f>
        <x:v>0</x:v>
      </x:c>
      <x:c r="F28" s="112" t="n">
        <x:f>IF(OR(C28="Rotule",C28="Rouleau",C28="Encastrement"),1,0)</x:f>
        <x:v>0</x:v>
      </x:c>
      <x:c r="G28" s="112" t="n">
        <x:f>IF(C28="Encastrement",1,0)</x:f>
        <x:v>0</x:v>
      </x:c>
      <x:c r="H28" s="112" t="n">
        <x:f>SUM(E28:G28)</x:f>
        <x:v>0</x:v>
      </x:c>
      <x:c r="I28" s="107" t="str">
        <x:f>IF(D28="","",IF(AND(D28&gt;=0,D28&lt;=$C$13),"OK","Hors poutre"))</x:f>
      </x:c>
      <x:c r="J28" s="107" t="str">
        <x:f>IF(C28="Rouleau",B28&amp;"y",IF(C28="Rotule",B28&amp;"x, "&amp;B28&amp;"y",IF(C28="Encastrement",B28&amp;"x, "&amp;B28&amp;"y, M"&amp;B28,"")))</x:f>
      </x:c>
      <x:c r="K28" s="4"/>
      <x:c r="L28" s="4"/>
      <x:c r="M28" s="4"/>
      <x:c r="N28" s="4"/>
    </x:row>
    <x:row r="29" ht="26" customHeight="1">
      <x:c r="A29" s="4"/>
      <x:c r="B29" s="106"/>
      <x:c r="C29" s="106"/>
      <x:c r="D29" s="110"/>
      <x:c r="E29" s="112" t="n">
        <x:f>IF(C29="Rotule",1,IF(C29="Encastrement",1,0))</x:f>
        <x:v>0</x:v>
      </x:c>
      <x:c r="F29" s="112" t="n">
        <x:f>IF(OR(C29="Rotule",C29="Rouleau",C29="Encastrement"),1,0)</x:f>
        <x:v>0</x:v>
      </x:c>
      <x:c r="G29" s="112" t="n">
        <x:f>IF(C29="Encastrement",1,0)</x:f>
        <x:v>0</x:v>
      </x:c>
      <x:c r="H29" s="112" t="n">
        <x:f>SUM(E29:G29)</x:f>
        <x:v>0</x:v>
      </x:c>
      <x:c r="I29" s="107" t="str">
        <x:f>IF(D29="","",IF(AND(D29&gt;=0,D29&lt;=$C$13),"OK","Hors poutre"))</x:f>
      </x:c>
      <x:c r="J29" s="107" t="str">
        <x:f>IF(C29="Rouleau",B29&amp;"y",IF(C29="Rotule",B29&amp;"x, "&amp;B29&amp;"y",IF(C29="Encastrement",B29&amp;"x, "&amp;B29&amp;"y, M"&amp;B29,"")))</x:f>
      </x:c>
      <x:c r="K29" s="4"/>
      <x:c r="L29" s="4"/>
      <x:c r="M29" s="4"/>
      <x:c r="N29" s="4"/>
    </x:row>
    <x:row r="30" ht="22" customHeight="1">
      <x:c r="A30" s="4"/>
      <x:c r="B30" s="4"/>
      <x:c r="C30" s="4"/>
      <x:c r="D30" s="4"/>
      <x:c r="E30" s="4"/>
      <x:c r="F30" s="4"/>
      <x:c r="G30" s="4"/>
      <x:c r="H30" s="4"/>
      <x:c r="I30" s="4"/>
      <x:c r="J30" s="4"/>
      <x:c r="K30" s="4"/>
      <x:c r="L30" s="4"/>
      <x:c r="M30" s="4"/>
      <x:c r="N30" s="4"/>
    </x:row>
    <x:row r="31" ht="22" customHeight="1">
      <x:c r="A31" s="4"/>
      <x:c r="B31" s="4"/>
      <x:c r="C31" s="4"/>
      <x:c r="D31" s="4"/>
      <x:c r="E31" s="4"/>
      <x:c r="F31" s="4"/>
      <x:c r="G31" s="4"/>
      <x:c r="H31" s="4"/>
      <x:c r="I31" s="4"/>
      <x:c r="J31" s="4"/>
      <x:c r="K31" s="4"/>
      <x:c r="L31" s="4"/>
      <x:c r="M31" s="4"/>
      <x:c r="N31" s="4"/>
    </x:row>
    <x:row r="32" ht="28" customHeight="1">
      <x:c r="A32" s="4"/>
      <x:c r="B32" s="76" t="str">
        <x:v>3. CONTRÔLE AUTOMATIQUE DE L’ISOSTATISME</x:v>
      </x:c>
      <x:c r="C32" s="4"/>
      <x:c r="D32" s="4"/>
      <x:c r="E32" s="4"/>
      <x:c r="F32" s="4"/>
      <x:c r="G32" s="4"/>
      <x:c r="H32" s="4"/>
      <x:c r="I32" s="4"/>
      <x:c r="J32" s="4"/>
      <x:c r="K32" s="4"/>
      <x:c r="L32" s="4"/>
      <x:c r="M32" s="4"/>
      <x:c r="N32" s="4"/>
    </x:row>
    <x:row r="33" ht="22" customHeight="1">
      <x:c r="A33" s="4"/>
      <x:c r="B33" s="4"/>
      <x:c r="C33" s="4"/>
      <x:c r="D33" s="4"/>
      <x:c r="E33" s="4"/>
      <x:c r="F33" s="4"/>
      <x:c r="G33" s="4"/>
      <x:c r="H33" s="4"/>
      <x:c r="I33" s="4"/>
      <x:c r="J33" s="4"/>
      <x:c r="K33" s="4"/>
      <x:c r="L33" s="4"/>
      <x:c r="M33" s="4"/>
      <x:c r="N33" s="4"/>
    </x:row>
    <x:row r="34" ht="22" customHeight="1">
      <x:c r="A34" s="4"/>
      <x:c r="B34" s="58" t="str">
        <x:v>Indicateur</x:v>
      </x:c>
      <x:c r="C34" s="58" t="str">
        <x:v>Valeur</x:v>
      </x:c>
      <x:c r="D34" s="58" t="str">
        <x:v>Interprétation</x:v>
      </x:c>
      <x:c r="E34" s="58" t="str"/>
      <x:c r="F34" s="58" t="str"/>
      <x:c r="G34" s="4"/>
      <x:c r="H34" s="120" t="str">
        <x:v>Rappel :
• Rouleau : 1 réaction verticale Ry
• Rotule : 2 réactions Rx et Ry
• Encastrement : 3 réactions Rx, Ry et M
En 2D, une poutre isostatique doit avoir exactement 3 réactions inconnues.</x:v>
      </x:c>
      <x:c r="I34" s="4"/>
      <x:c r="J34" s="4"/>
      <x:c r="K34" s="4"/>
      <x:c r="L34" s="4"/>
      <x:c r="M34" s="4"/>
      <x:c r="N34" s="4"/>
    </x:row>
    <x:row r="35" ht="22" customHeight="1">
      <x:c r="A35" s="4"/>
      <x:c r="B35" s="100" t="str">
        <x:v>Nombre total de réactions inconnues</x:v>
      </x:c>
      <x:c r="C35" s="114" t="n">
        <x:f>SUM(H20:H29)</x:f>
        <x:v>3</x:v>
      </x:c>
      <x:c r="D35" s="100" t="str"/>
      <x:c r="E35" s="100" t="str"/>
      <x:c r="F35" s="100" t="str"/>
      <x:c r="G35" s="4"/>
      <x:c r="H35" s="4"/>
      <x:c r="I35" s="4"/>
      <x:c r="J35" s="4"/>
      <x:c r="K35" s="4"/>
      <x:c r="L35" s="4"/>
      <x:c r="M35" s="4"/>
      <x:c r="N35" s="4"/>
    </x:row>
    <x:row r="36" ht="22" customHeight="1">
      <x:c r="A36" s="4"/>
      <x:c r="B36" s="100" t="str">
        <x:v>Nombre d’équations d’équilibre 2D</x:v>
      </x:c>
      <x:c r="C36" s="114" t="n">
        <x:v>3</x:v>
      </x:c>
      <x:c r="D36" s="100" t="str">
        <x:v>ΣFx = 0 ; ΣFy = 0 ; ΣM = 0</x:v>
      </x:c>
      <x:c r="E36" s="100" t="str"/>
      <x:c r="F36" s="100" t="str"/>
      <x:c r="G36" s="4"/>
      <x:c r="H36" s="4"/>
      <x:c r="I36" s="4"/>
      <x:c r="J36" s="4"/>
      <x:c r="K36" s="4"/>
      <x:c r="L36" s="4"/>
      <x:c r="M36" s="4"/>
      <x:c r="N36" s="4"/>
    </x:row>
    <x:row r="37" ht="22" customHeight="1">
      <x:c r="A37" s="4"/>
      <x:c r="B37" s="100" t="str">
        <x:v>Statut de la structure</x:v>
      </x:c>
      <x:c r="C37" s="116" t="str">
        <x:f>IF(C35=3,"ISOSTATIQUE",IF(C35&lt;3,"INSTABLE / insuffisant","HYPERSTATIQUE"))</x:f>
        <x:v>ISOSTATIQUE</x:v>
      </x:c>
      <x:c r="D37" s="100" t="str"/>
      <x:c r="E37" s="100" t="str"/>
      <x:c r="F37" s="100" t="str"/>
      <x:c r="G37" s="4"/>
      <x:c r="H37" s="4"/>
      <x:c r="I37" s="4"/>
      <x:c r="J37" s="4"/>
      <x:c r="K37" s="4"/>
      <x:c r="L37" s="4"/>
      <x:c r="M37" s="4"/>
      <x:c r="N37" s="4"/>
    </x:row>
    <x:row r="38" ht="22" customHeight="1">
      <x:c r="A38" s="4"/>
      <x:c r="B38" s="100" t="str">
        <x:v>Message</x:v>
      </x:c>
      <x:c r="C38" s="114" t="str">
        <x:f>IF(C35=3,"La structure possède exactement 3 réactions inconnues : le solveur peut construire les 3 équations d’équilibre.",IF(C35&lt;3,"Il manque des réactions d’appui : la poutre risque d’être instable.","Il y a plus de 3 réactions inconnues : la structure n’est pas isostatique en 2D."))</x:f>
        <x:v>La structure possède exactement 3 réactions inconnues : le solveur peut construire les 3 équations d’équilibre.</x:v>
      </x:c>
      <x:c r="D38" s="100" t="str"/>
      <x:c r="E38" s="100" t="str"/>
      <x:c r="F38" s="100" t="str"/>
      <x:c r="G38" s="4"/>
      <x:c r="H38" s="4"/>
      <x:c r="I38" s="4"/>
      <x:c r="J38" s="4"/>
      <x:c r="K38" s="4"/>
      <x:c r="L38" s="4"/>
      <x:c r="M38" s="4"/>
      <x:c r="N38" s="4"/>
    </x:row>
    <x:row r="39" ht="22" customHeight="1">
      <x:c r="A39" s="4"/>
      <x:c r="B39" s="4"/>
      <x:c r="C39" s="4"/>
      <x:c r="D39" s="4"/>
      <x:c r="E39" s="4"/>
      <x:c r="F39" s="4"/>
      <x:c r="G39" s="4"/>
      <x:c r="H39" s="4"/>
      <x:c r="I39" s="4"/>
      <x:c r="J39" s="4"/>
      <x:c r="K39" s="4"/>
      <x:c r="L39" s="4"/>
      <x:c r="M39" s="4"/>
      <x:c r="N39" s="4"/>
    </x:row>
    <x:row r="40" ht="22" customHeight="1">
      <x:c r="A40" s="4"/>
      <x:c r="B40" s="4"/>
      <x:c r="C40" s="4"/>
      <x:c r="D40" s="4"/>
      <x:c r="E40" s="4"/>
      <x:c r="F40" s="4"/>
      <x:c r="G40" s="4"/>
      <x:c r="H40" s="4"/>
      <x:c r="I40" s="4"/>
      <x:c r="J40" s="4"/>
      <x:c r="K40" s="4"/>
      <x:c r="L40" s="4"/>
      <x:c r="M40" s="4"/>
      <x:c r="N40" s="4"/>
    </x:row>
    <x:row r="41" ht="22" customHeight="1">
      <x:c r="A41" s="4"/>
      <x:c r="B41" s="32" t="str">
        <x:v>Ajouter un appui</x:v>
      </x:c>
      <x:c r="C41" s="4"/>
      <x:c r="D41" s="4"/>
      <x:c r="E41" s="40" t="str">
        <x:v>Vérifier</x:v>
      </x:c>
      <x:c r="F41" s="4"/>
      <x:c r="G41" s="4"/>
      <x:c r="H41" s="70" t="str">
        <x:v>Réinitialiser</x:v>
      </x:c>
      <x:c r="I41" s="4"/>
      <x:c r="J41" s="4"/>
      <x:c r="K41" s="48" t="str">
        <x:v>Passer aux charges</x:v>
      </x:c>
      <x:c r="L41" s="4"/>
      <x:c r="M41" s="4"/>
      <x:c r="N41" s="4"/>
    </x:row>
    <x:row r="42" ht="22" customHeight="1">
      <x:c r="A42" s="4"/>
      <x:c r="B42" s="4"/>
      <x:c r="C42" s="4"/>
      <x:c r="D42" s="4"/>
      <x:c r="E42" s="4"/>
      <x:c r="F42" s="4"/>
      <x:c r="G42" s="4"/>
      <x:c r="H42" s="4"/>
      <x:c r="I42" s="4"/>
      <x:c r="J42" s="4"/>
      <x:c r="K42" s="4"/>
      <x:c r="L42" s="4"/>
      <x:c r="M42" s="4"/>
      <x:c r="N42" s="4"/>
    </x:row>
    <x:row r="43" ht="22" customHeight="1">
      <x:c r="A43" s="4"/>
      <x:c r="B43" s="4"/>
      <x:c r="C43" s="4"/>
      <x:c r="D43" s="4"/>
      <x:c r="E43" s="4"/>
      <x:c r="F43" s="4"/>
      <x:c r="G43" s="4"/>
      <x:c r="H43" s="4"/>
      <x:c r="I43" s="4"/>
      <x:c r="J43" s="4"/>
      <x:c r="K43" s="4"/>
      <x:c r="L43" s="4"/>
      <x:c r="M43" s="4"/>
      <x:c r="N43" s="4"/>
    </x:row>
    <x:row r="44" ht="22" customHeight="1">
      <x:c r="A44" s="4"/>
      <x:c r="B44" s="4"/>
      <x:c r="C44" s="4"/>
      <x:c r="D44" s="4"/>
      <x:c r="E44" s="4"/>
      <x:c r="F44" s="4"/>
      <x:c r="G44" s="4"/>
      <x:c r="H44" s="4"/>
      <x:c r="I44" s="4"/>
      <x:c r="J44" s="4"/>
      <x:c r="K44" s="4"/>
      <x:c r="L44" s="4"/>
      <x:c r="M44" s="4"/>
      <x:c r="N44" s="4"/>
    </x:row>
    <x:row r="45" ht="22" customHeight="1">
      <x:c r="A45" s="4"/>
      <x:c r="B45" s="4"/>
      <x:c r="C45" s="4"/>
      <x:c r="D45" s="4"/>
      <x:c r="E45" s="4"/>
      <x:c r="F45" s="4"/>
      <x:c r="G45" s="4"/>
      <x:c r="H45" s="4"/>
      <x:c r="I45" s="4"/>
      <x:c r="J45" s="4"/>
      <x:c r="K45" s="4"/>
      <x:c r="L45" s="4"/>
      <x:c r="M45" s="4"/>
      <x:c r="N45" s="4"/>
    </x:row>
    <x:row r="46" ht="22" customHeight="1">
      <x:c r="A46" s="4"/>
      <x:c r="B46" s="4"/>
      <x:c r="C46" s="4"/>
      <x:c r="D46" s="4"/>
      <x:c r="E46" s="4"/>
      <x:c r="F46" s="4"/>
      <x:c r="G46" s="4"/>
      <x:c r="H46" s="4"/>
      <x:c r="I46" s="4"/>
      <x:c r="J46" s="4"/>
      <x:c r="K46" s="4"/>
      <x:c r="L46" s="4"/>
      <x:c r="M46" s="4"/>
      <x:c r="N46" s="4"/>
    </x:row>
    <x:row r="47" ht="22" customHeight="1">
      <x:c r="A47" s="4"/>
      <x:c r="B47" s="4"/>
      <x:c r="C47" s="4"/>
      <x:c r="D47" s="4"/>
      <x:c r="E47" s="4"/>
      <x:c r="F47" s="4"/>
      <x:c r="G47" s="4"/>
      <x:c r="H47" s="4"/>
      <x:c r="I47" s="4"/>
      <x:c r="J47" s="4"/>
      <x:c r="K47" s="4"/>
      <x:c r="L47" s="4"/>
      <x:c r="M47" s="4"/>
      <x:c r="N47" s="4"/>
    </x:row>
    <x:row r="48" ht="22" customHeight="1">
      <x:c r="A48" s="4"/>
      <x:c r="B48" s="4"/>
      <x:c r="C48" s="4"/>
      <x:c r="D48" s="4"/>
      <x:c r="E48" s="4"/>
      <x:c r="F48" s="4"/>
      <x:c r="G48" s="4"/>
      <x:c r="H48" s="4"/>
      <x:c r="I48" s="4"/>
      <x:c r="J48" s="4"/>
      <x:c r="K48" s="4"/>
      <x:c r="L48" s="4"/>
      <x:c r="M48" s="4"/>
      <x:c r="N48" s="4"/>
    </x:row>
  </x:sheetData>
  <x:mergeCells>
    <x:mergeCell ref="B2:M3"/>
    <x:mergeCell ref="B4:M5"/>
    <x:mergeCell ref="B7:D8"/>
    <x:mergeCell ref="E7:G8"/>
    <x:mergeCell ref="H7:J8"/>
    <x:mergeCell ref="K7:M8"/>
    <x:mergeCell ref="B10:M10"/>
    <x:mergeCell ref="F12:M14"/>
    <x:mergeCell ref="B17:M17"/>
    <x:mergeCell ref="B32:M32"/>
    <x:mergeCell ref="H34:M38"/>
    <x:mergeCell ref="B41:D42"/>
    <x:mergeCell ref="E41:G42"/>
    <x:mergeCell ref="H41:J42"/>
    <x:mergeCell ref="K41:M42"/>
  </x:mergeCells>
  <x:dataValidations count="1">
    <x:dataValidation type="list" sqref="C20:C29">
      <x:formula1>"Rouleau,Rotule,Encastrement"</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3" hidden="0" customWidth="1"/>
    <x:col min="2" max="2" width="16" hidden="0" customWidth="1"/>
    <x:col min="3" max="3" width="13" hidden="0" customWidth="1"/>
    <x:col min="4" max="4" width="13" hidden="0" customWidth="1"/>
    <x:col min="5" max="5" width="13" hidden="0" customWidth="1"/>
    <x:col min="6" max="6" width="18" hidden="0" customWidth="1"/>
    <x:col min="7" max="7" width="16" hidden="0" customWidth="1"/>
    <x:col min="8" max="8" width="24" hidden="0" customWidth="1"/>
    <x:col min="9" max="9" width="18" hidden="0" customWidth="1"/>
    <x:col min="10" max="10" width="18" hidden="0" customWidth="1"/>
    <x:col min="11" max="11" width="22" hidden="0" customWidth="1"/>
    <x:col min="12" max="12" width="3" hidden="0" customWidth="1"/>
  </x:cols>
  <x:sheetData>
    <x:row r="1" ht="22" customHeight="1">
      <x:c r="A1" s="129"/>
      <x:c r="B1" s="129"/>
      <x:c r="C1" s="129"/>
      <x:c r="D1" s="129"/>
      <x:c r="E1" s="129"/>
      <x:c r="F1" s="129"/>
      <x:c r="G1" s="129"/>
      <x:c r="H1" s="129"/>
      <x:c r="I1" s="129"/>
      <x:c r="J1" s="129"/>
      <x:c r="K1" s="129"/>
      <x:c r="L1" s="129"/>
    </x:row>
    <x:row r="2" ht="22" customHeight="1">
      <x:c r="A2" s="129"/>
      <x:c r="B2" s="132" t="str">
        <x:v>CHARGES</x:v>
      </x:c>
      <x:c r="C2" s="134"/>
      <x:c r="D2" s="134"/>
      <x:c r="E2" s="134"/>
      <x:c r="F2" s="134"/>
      <x:c r="G2" s="134"/>
      <x:c r="H2" s="134"/>
      <x:c r="I2" s="134"/>
      <x:c r="J2" s="134"/>
      <x:c r="K2" s="134"/>
      <x:c r="L2" s="129"/>
    </x:row>
    <x:row r="3" ht="22" customHeight="1">
      <x:c r="A3" s="129"/>
      <x:c r="B3" s="134"/>
      <x:c r="C3" s="134"/>
      <x:c r="D3" s="134"/>
      <x:c r="E3" s="134"/>
      <x:c r="F3" s="134"/>
      <x:c r="G3" s="134"/>
      <x:c r="H3" s="134"/>
      <x:c r="I3" s="134"/>
      <x:c r="J3" s="134"/>
      <x:c r="K3" s="134"/>
      <x:c r="L3" s="129"/>
    </x:row>
    <x:row r="4" ht="22" customHeight="1">
      <x:c r="A4" s="129"/>
      <x:c r="B4" s="140" t="str">
        <x:v>Définition des forces ponctuelles et des charges réparties appliquées à la poutre.</x:v>
      </x:c>
      <x:c r="C4" s="140"/>
      <x:c r="D4" s="140"/>
      <x:c r="E4" s="140"/>
      <x:c r="F4" s="140"/>
      <x:c r="G4" s="140"/>
      <x:c r="H4" s="140"/>
      <x:c r="I4" s="140"/>
      <x:c r="J4" s="140"/>
      <x:c r="K4" s="140"/>
      <x:c r="L4" s="129"/>
    </x:row>
    <x:row r="5" ht="22" customHeight="1">
      <x:c r="A5" s="129"/>
      <x:c r="B5" s="138"/>
      <x:c r="C5" s="140"/>
      <x:c r="D5" s="140"/>
      <x:c r="E5" s="140"/>
      <x:c r="F5" s="140"/>
      <x:c r="G5" s="140"/>
      <x:c r="H5" s="140"/>
      <x:c r="I5" s="140"/>
      <x:c r="J5" s="140"/>
      <x:c r="K5" s="140"/>
      <x:c r="L5" s="129"/>
    </x:row>
    <x:row r="6" ht="22" customHeight="1">
      <x:c r="A6" s="129"/>
      <x:c r="B6" s="129"/>
      <x:c r="C6" s="129"/>
      <x:c r="D6" s="129"/>
      <x:c r="E6" s="129"/>
      <x:c r="F6" s="129"/>
      <x:c r="G6" s="129"/>
      <x:c r="H6" s="129"/>
      <x:c r="I6" s="129"/>
      <x:c r="J6" s="129"/>
      <x:c r="K6" s="129"/>
      <x:c r="L6" s="129"/>
    </x:row>
    <x:row r="7" ht="22" customHeight="1">
      <x:c r="A7" s="129"/>
      <x:c r="B7" s="144" t="str">
        <x:v>← Structure</x:v>
      </x:c>
      <x:c r="C7" s="144"/>
      <x:c r="D7" s="129"/>
      <x:c r="E7" s="148" t="str">
        <x:v>Nettoyer les charges</x:v>
      </x:c>
      <x:c r="F7" s="148"/>
      <x:c r="G7" s="129"/>
      <x:c r="H7" s="152" t="str">
        <x:v>Vérifier charges</x:v>
      </x:c>
      <x:c r="I7" s="152"/>
      <x:c r="J7" s="156" t="str">
        <x:v>Suivant : résultats →</x:v>
      </x:c>
      <x:c r="K7" s="156"/>
      <x:c r="L7" s="129"/>
    </x:row>
    <x:row r="8" ht="22" customHeight="1">
      <x:c r="A8" s="129"/>
      <x:c r="B8" s="144"/>
      <x:c r="C8" s="144"/>
      <x:c r="D8" s="129"/>
      <x:c r="E8" s="148"/>
      <x:c r="F8" s="148"/>
      <x:c r="G8" s="129"/>
      <x:c r="H8" s="152"/>
      <x:c r="I8" s="152"/>
      <x:c r="J8" s="156"/>
      <x:c r="K8" s="156"/>
      <x:c r="L8" s="129"/>
    </x:row>
    <x:row r="9" ht="22" customHeight="1">
      <x:c r="A9" s="129"/>
      <x:c r="B9" s="129"/>
      <x:c r="C9" s="129"/>
      <x:c r="D9" s="129"/>
      <x:c r="E9" s="129"/>
      <x:c r="F9" s="129"/>
      <x:c r="G9" s="129"/>
      <x:c r="H9" s="129"/>
      <x:c r="I9" s="129"/>
      <x:c r="J9" s="129"/>
      <x:c r="K9" s="129"/>
      <x:c r="L9" s="129"/>
    </x:row>
    <x:row r="10" ht="22" customHeight="1">
      <x:c r="A10" s="129"/>
      <x:c r="B10" s="158" t="str">
        <x:v>Convention de signe</x:v>
      </x:c>
      <x:c r="C10" s="158"/>
      <x:c r="D10" s="158"/>
      <x:c r="E10" s="158"/>
      <x:c r="F10" s="158"/>
      <x:c r="G10" s="129"/>
      <x:c r="H10" s="158" t="str">
        <x:v>Résumé automatique des charges</x:v>
      </x:c>
      <x:c r="I10" s="158"/>
      <x:c r="J10" s="158"/>
      <x:c r="K10" s="158"/>
      <x:c r="L10" s="129"/>
    </x:row>
    <x:row r="11" ht="22" customHeight="1">
      <x:c r="A11" s="129"/>
      <x:c r="B11" s="158"/>
      <x:c r="C11" s="158"/>
      <x:c r="D11" s="158"/>
      <x:c r="E11" s="158"/>
      <x:c r="F11" s="158"/>
      <x:c r="G11" s="129"/>
      <x:c r="H11" s="158"/>
      <x:c r="I11" s="158"/>
      <x:c r="J11" s="158"/>
      <x:c r="K11" s="158"/>
      <x:c r="L11" s="129"/>
    </x:row>
    <x:row r="12" ht="22" customHeight="1">
      <x:c r="A12" s="129"/>
      <x:c r="B12" s="161" t="str">
        <x:v>fx &gt; 0 : force vers la droite   |   fx &lt; 0 : force vers la gauche
fy &gt; 0 : force vers le haut     |   fy &lt; 0 : force vers le bas
q &lt; 0 : charge répartie descendante sur la poutre</x:v>
      </x:c>
      <x:c r="C12" s="161"/>
      <x:c r="D12" s="161"/>
      <x:c r="E12" s="161"/>
      <x:c r="F12" s="161"/>
      <x:c r="G12" s="129"/>
      <x:c r="H12" s="162" t="str">
        <x:v>Indicateur</x:v>
      </x:c>
      <x:c r="I12" s="162" t="str">
        <x:v>Valeur</x:v>
      </x:c>
      <x:c r="J12" s="162" t="str">
        <x:v>Unité</x:v>
      </x:c>
      <x:c r="K12" s="162" t="str">
        <x:v>Remarque</x:v>
      </x:c>
      <x:c r="L12" s="129"/>
    </x:row>
    <x:row r="13" ht="22" customHeight="1">
      <x:c r="A13" s="129"/>
      <x:c r="B13" s="161"/>
      <x:c r="C13" s="161"/>
      <x:c r="D13" s="161"/>
      <x:c r="E13" s="161"/>
      <x:c r="F13" s="161"/>
      <x:c r="G13" s="129"/>
      <x:c r="H13" s="164" t="str">
        <x:v>ΣFx ponctuelles</x:v>
      </x:c>
      <x:c r="I13" s="165" t="n">
        <x:f>SUM(C21:C28)</x:f>
        <x:v>0</x:v>
      </x:c>
      <x:c r="J13" s="164" t="str">
        <x:v>kN</x:v>
      </x:c>
      <x:c r="K13" s="164" t="str">
        <x:v>Somme horizontale</x:v>
      </x:c>
      <x:c r="L13" s="129"/>
    </x:row>
    <x:row r="14" ht="22" customHeight="1">
      <x:c r="A14" s="129"/>
      <x:c r="B14" s="161"/>
      <x:c r="C14" s="161"/>
      <x:c r="D14" s="161"/>
      <x:c r="E14" s="161"/>
      <x:c r="F14" s="161"/>
      <x:c r="G14" s="129"/>
      <x:c r="H14" s="164" t="str">
        <x:v>ΣFy ponctuelles</x:v>
      </x:c>
      <x:c r="I14" s="165" t="n">
        <x:f>SUM(D21:D28)</x:f>
        <x:v>-12</x:v>
      </x:c>
      <x:c r="J14" s="164" t="str">
        <x:v>kN</x:v>
      </x:c>
      <x:c r="K14" s="164" t="str">
        <x:v>Somme verticale</x:v>
      </x:c>
      <x:c r="L14" s="129"/>
    </x:row>
    <x:row r="15" ht="22" customHeight="1">
      <x:c r="A15" s="129"/>
      <x:c r="B15" s="129"/>
      <x:c r="C15" s="129"/>
      <x:c r="D15" s="129"/>
      <x:c r="E15" s="129"/>
      <x:c r="F15" s="129"/>
      <x:c r="G15" s="129"/>
      <x:c r="H15" s="164" t="str">
        <x:v>Σ charges réparties</x:v>
      </x:c>
      <x:c r="I15" s="165" t="n">
        <x:f>SUM(G34:G41)</x:f>
        <x:v>-16</x:v>
      </x:c>
      <x:c r="J15" s="164" t="str">
        <x:v>kN</x:v>
      </x:c>
      <x:c r="K15" s="164" t="str">
        <x:v>Résultantes q × longueur</x:v>
      </x:c>
      <x:c r="L15" s="129"/>
    </x:row>
    <x:row r="16" ht="22" customHeight="1">
      <x:c r="A16" s="129"/>
      <x:c r="B16" s="129"/>
      <x:c r="C16" s="129"/>
      <x:c r="D16" s="129"/>
      <x:c r="E16" s="129"/>
      <x:c r="F16" s="129"/>
      <x:c r="G16" s="129"/>
      <x:c r="H16" s="164" t="str">
        <x:v>Charge verticale totale</x:v>
      </x:c>
      <x:c r="I16" s="165" t="n">
        <x:f>I14+I15</x:f>
        <x:v>-28</x:v>
      </x:c>
      <x:c r="J16" s="164" t="str">
        <x:v>kN</x:v>
      </x:c>
      <x:c r="K16" s="164" t="str">
        <x:v>Fy + résultantes</x:v>
      </x:c>
      <x:c r="L16" s="129"/>
    </x:row>
    <x:row r="17" ht="22" customHeight="1">
      <x:c r="A17" s="129"/>
      <x:c r="B17" s="129"/>
      <x:c r="C17" s="129"/>
      <x:c r="D17" s="129"/>
      <x:c r="E17" s="129"/>
      <x:c r="F17" s="129"/>
      <x:c r="G17" s="129"/>
      <x:c r="H17" s="129"/>
      <x:c r="I17" s="129"/>
      <x:c r="J17" s="129"/>
      <x:c r="K17" s="129"/>
      <x:c r="L17" s="129"/>
    </x:row>
    <x:row r="18" ht="22" customHeight="1">
      <x:c r="A18" s="129"/>
      <x:c r="B18" s="166" t="str">
        <x:v>1. FORCES PONCTUELLES</x:v>
      </x:c>
      <x:c r="C18" s="166"/>
      <x:c r="D18" s="166"/>
      <x:c r="E18" s="166"/>
      <x:c r="F18" s="166"/>
      <x:c r="G18" s="166"/>
      <x:c r="H18" s="166"/>
      <x:c r="I18" s="166"/>
      <x:c r="J18" s="166"/>
      <x:c r="K18" s="166"/>
      <x:c r="L18" s="129"/>
    </x:row>
    <x:row r="19" ht="22" customHeight="1">
      <x:c r="A19" s="129"/>
      <x:c r="B19" s="129"/>
      <x:c r="C19" s="129"/>
      <x:c r="D19" s="129"/>
      <x:c r="E19" s="129"/>
      <x:c r="F19" s="129"/>
      <x:c r="G19" s="129"/>
      <x:c r="H19" s="129"/>
      <x:c r="I19" s="129"/>
      <x:c r="J19" s="129"/>
      <x:c r="K19" s="129"/>
      <x:c r="L19" s="129"/>
    </x:row>
    <x:row r="20" ht="22" customHeight="1">
      <x:c r="A20" s="129"/>
      <x:c r="B20" s="144" t="str">
        <x:v>Nom</x:v>
      </x:c>
      <x:c r="C20" s="144" t="str">
        <x:v>fx</x:v>
      </x:c>
      <x:c r="D20" s="144" t="str">
        <x:v>fy</x:v>
      </x:c>
      <x:c r="E20" s="144" t="str">
        <x:v>Position x</x:v>
      </x:c>
      <x:c r="F20" s="144" t="str">
        <x:v>Unité</x:v>
      </x:c>
      <x:c r="G20" s="144" t="str">
        <x:v>Contrôle position</x:v>
      </x:c>
      <x:c r="H20" s="144" t="str">
        <x:v>Sens vertical</x:v>
      </x:c>
      <x:c r="I20" s="144" t="str">
        <x:v>Description / remarque</x:v>
      </x:c>
      <x:c r="J20" s="129"/>
      <x:c r="K20" s="129"/>
      <x:c r="L20" s="129"/>
    </x:row>
    <x:row r="21">
      <x:c r="A21" s="129"/>
      <x:c r="B21" s="167" t="str">
        <x:v>F1</x:v>
      </x:c>
      <x:c r="C21" s="168" t="n">
        <x:v>0</x:v>
      </x:c>
      <x:c r="D21" s="168" t="n">
        <x:v>-12</x:v>
      </x:c>
      <x:c r="E21" s="168" t="n">
        <x:v>2</x:v>
      </x:c>
      <x:c r="F21" s="164" t="str">
        <x:v>kN</x:v>
      </x:c>
      <x:c r="G21" s="169" t="str">
        <x:f>IF(B21="","",IF(AND(E21&gt;=0,E21&lt;=STRUCTURE!$C$13),"OK","Hors poutre"))</x:f>
        <x:v>OK</x:v>
      </x:c>
      <x:c r="H21" s="169" t="str">
        <x:f>IF(B21="","",IF(D21&lt;0,"Descendante",IF(D21&gt;0,"Montante","Horizontale / nulle")))</x:f>
        <x:v>Descendante</x:v>
      </x:c>
      <x:c r="I21" s="169"/>
      <x:c r="J21" s="129"/>
      <x:c r="K21" s="129"/>
      <x:c r="L21" s="129"/>
    </x:row>
    <x:row r="22">
      <x:c r="A22" s="129"/>
      <x:c r="B22" s="167" t="str">
        <x:v>F2</x:v>
      </x:c>
      <x:c r="C22" s="168"/>
      <x:c r="D22" s="168"/>
      <x:c r="E22" s="168"/>
      <x:c r="F22" s="164" t="str">
        <x:v>kN</x:v>
      </x:c>
      <x:c r="G22" s="169" t="str">
        <x:f>IF(B22="","",IF(AND(E22&gt;=0,E22&lt;=STRUCTURE!$C$13),"OK","Hors poutre"))</x:f>
        <x:v>OK</x:v>
      </x:c>
      <x:c r="H22" s="169" t="str">
        <x:f>IF(B22="","",IF(D22&lt;0,"Descendante",IF(D22&gt;0,"Montante","Horizontale / nulle")))</x:f>
        <x:v>Horizontale / nulle</x:v>
      </x:c>
      <x:c r="I22" s="169"/>
      <x:c r="J22" s="129"/>
      <x:c r="K22" s="129"/>
      <x:c r="L22" s="129"/>
    </x:row>
    <x:row r="23">
      <x:c r="A23" s="129"/>
      <x:c r="B23" s="167"/>
      <x:c r="C23" s="168"/>
      <x:c r="D23" s="168"/>
      <x:c r="E23" s="168"/>
      <x:c r="F23" s="164" t="str">
        <x:v>kN</x:v>
      </x:c>
      <x:c r="G23" s="169" t="str">
        <x:f>IF(B23="","",IF(AND(E23&gt;=0,E23&lt;=STRUCTURE!$C$13),"OK","Hors poutre"))</x:f>
      </x:c>
      <x:c r="H23" s="169" t="str">
        <x:f>IF(B23="","",IF(D23&lt;0,"Descendante",IF(D23&gt;0,"Montante","Horizontale / nulle")))</x:f>
      </x:c>
      <x:c r="I23" s="169"/>
      <x:c r="J23" s="129"/>
      <x:c r="K23" s="129"/>
      <x:c r="L23" s="129"/>
    </x:row>
    <x:row r="24">
      <x:c r="A24" s="129"/>
      <x:c r="B24" s="167"/>
      <x:c r="C24" s="168"/>
      <x:c r="D24" s="168"/>
      <x:c r="E24" s="168"/>
      <x:c r="F24" s="164" t="str">
        <x:v>kN</x:v>
      </x:c>
      <x:c r="G24" s="169" t="str">
        <x:f>IF(B24="","",IF(AND(E24&gt;=0,E24&lt;=STRUCTURE!$C$13),"OK","Hors poutre"))</x:f>
      </x:c>
      <x:c r="H24" s="169" t="str">
        <x:f>IF(B24="","",IF(D24&lt;0,"Descendante",IF(D24&gt;0,"Montante","Horizontale / nulle")))</x:f>
      </x:c>
      <x:c r="I24" s="169"/>
      <x:c r="J24" s="129"/>
      <x:c r="K24" s="129"/>
      <x:c r="L24" s="129"/>
    </x:row>
    <x:row r="25">
      <x:c r="A25" s="129"/>
      <x:c r="B25" s="167"/>
      <x:c r="C25" s="168"/>
      <x:c r="D25" s="168"/>
      <x:c r="E25" s="168"/>
      <x:c r="F25" s="164" t="str">
        <x:v>kN</x:v>
      </x:c>
      <x:c r="G25" s="169" t="str">
        <x:f>IF(B25="","",IF(AND(E25&gt;=0,E25&lt;=STRUCTURE!$C$13),"OK","Hors poutre"))</x:f>
      </x:c>
      <x:c r="H25" s="169" t="str">
        <x:f>IF(B25="","",IF(D25&lt;0,"Descendante",IF(D25&gt;0,"Montante","Horizontale / nulle")))</x:f>
      </x:c>
      <x:c r="I25" s="169"/>
      <x:c r="J25" s="129"/>
      <x:c r="K25" s="129"/>
      <x:c r="L25" s="129"/>
    </x:row>
    <x:row r="26">
      <x:c r="A26" s="129"/>
      <x:c r="B26" s="167"/>
      <x:c r="C26" s="168"/>
      <x:c r="D26" s="168"/>
      <x:c r="E26" s="168"/>
      <x:c r="F26" s="164" t="str">
        <x:v>kN</x:v>
      </x:c>
      <x:c r="G26" s="169" t="str">
        <x:f>IF(B26="","",IF(AND(E26&gt;=0,E26&lt;=STRUCTURE!$C$13),"OK","Hors poutre"))</x:f>
      </x:c>
      <x:c r="H26" s="169" t="str">
        <x:f>IF(B26="","",IF(D26&lt;0,"Descendante",IF(D26&gt;0,"Montante","Horizontale / nulle")))</x:f>
      </x:c>
      <x:c r="I26" s="169"/>
      <x:c r="J26" s="129"/>
      <x:c r="K26" s="129"/>
      <x:c r="L26" s="129"/>
    </x:row>
    <x:row r="27">
      <x:c r="A27" s="129"/>
      <x:c r="B27" s="167"/>
      <x:c r="C27" s="168"/>
      <x:c r="D27" s="168"/>
      <x:c r="E27" s="168"/>
      <x:c r="F27" s="164" t="str">
        <x:v>kN</x:v>
      </x:c>
      <x:c r="G27" s="169" t="str">
        <x:f>IF(B27="","",IF(AND(E27&gt;=0,E27&lt;=STRUCTURE!$C$13),"OK","Hors poutre"))</x:f>
      </x:c>
      <x:c r="H27" s="169" t="str">
        <x:f>IF(B27="","",IF(D27&lt;0,"Descendante",IF(D27&gt;0,"Montante","Horizontale / nulle")))</x:f>
      </x:c>
      <x:c r="I27" s="169"/>
      <x:c r="J27" s="129"/>
      <x:c r="K27" s="129"/>
      <x:c r="L27" s="129"/>
    </x:row>
    <x:row r="28">
      <x:c r="A28" s="129"/>
      <x:c r="B28" s="167"/>
      <x:c r="C28" s="168"/>
      <x:c r="D28" s="168"/>
      <x:c r="E28" s="168"/>
      <x:c r="F28" s="164" t="str">
        <x:v>kN</x:v>
      </x:c>
      <x:c r="G28" s="169" t="str">
        <x:f>IF(B28="","",IF(AND(E28&gt;=0,E28&lt;=STRUCTURE!$C$13),"OK","Hors poutre"))</x:f>
      </x:c>
      <x:c r="H28" s="169" t="str">
        <x:f>IF(B28="","",IF(D28&lt;0,"Descendante",IF(D28&gt;0,"Montante","Horizontale / nulle")))</x:f>
      </x:c>
      <x:c r="I28" s="169"/>
      <x:c r="J28" s="129"/>
      <x:c r="K28" s="129"/>
      <x:c r="L28" s="129"/>
    </x:row>
    <x:row r="29">
      <x:c r="A29" s="129"/>
      <x:c r="B29" s="129"/>
      <x:c r="C29" s="129"/>
      <x:c r="D29" s="129"/>
      <x:c r="E29" s="129"/>
      <x:c r="F29" s="129"/>
      <x:c r="G29" s="129"/>
      <x:c r="H29" s="129"/>
      <x:c r="I29" s="129"/>
      <x:c r="J29" s="129"/>
      <x:c r="K29" s="129"/>
      <x:c r="L29" s="129"/>
    </x:row>
    <x:row r="30">
      <x:c r="A30" s="129"/>
      <x:c r="B30" s="129"/>
      <x:c r="C30" s="129"/>
      <x:c r="D30" s="129"/>
      <x:c r="E30" s="129"/>
      <x:c r="F30" s="129"/>
      <x:c r="G30" s="129"/>
      <x:c r="H30" s="129"/>
      <x:c r="I30" s="129"/>
      <x:c r="J30" s="129"/>
      <x:c r="K30" s="129"/>
      <x:c r="L30" s="129"/>
    </x:row>
    <x:row r="31">
      <x:c r="A31" s="129"/>
      <x:c r="B31" s="166" t="str">
        <x:v>2. CHARGES RÉPARTIES UNIFORMES</x:v>
      </x:c>
      <x:c r="C31" s="166"/>
      <x:c r="D31" s="166"/>
      <x:c r="E31" s="166"/>
      <x:c r="F31" s="166"/>
      <x:c r="G31" s="166"/>
      <x:c r="H31" s="166"/>
      <x:c r="I31" s="166"/>
      <x:c r="J31" s="166"/>
      <x:c r="K31" s="166"/>
      <x:c r="L31" s="129"/>
    </x:row>
    <x:row r="32">
      <x:c r="A32" s="129"/>
      <x:c r="B32" s="129"/>
      <x:c r="C32" s="129"/>
      <x:c r="D32" s="129"/>
      <x:c r="E32" s="129"/>
      <x:c r="F32" s="129"/>
      <x:c r="G32" s="129"/>
      <x:c r="H32" s="129"/>
      <x:c r="I32" s="129"/>
      <x:c r="J32" s="129"/>
      <x:c r="K32" s="129"/>
      <x:c r="L32" s="129"/>
    </x:row>
    <x:row r="33">
      <x:c r="A33" s="129"/>
      <x:c r="B33" s="152" t="str">
        <x:v>Nom</x:v>
      </x:c>
      <x:c r="C33" s="152" t="str">
        <x:v>q</x:v>
      </x:c>
      <x:c r="D33" s="152" t="str">
        <x:v>Début</x:v>
      </x:c>
      <x:c r="E33" s="152" t="str">
        <x:v>Fin</x:v>
      </x:c>
      <x:c r="F33" s="152" t="str">
        <x:v>Longueur chargée</x:v>
      </x:c>
      <x:c r="G33" s="152" t="str">
        <x:v>Résultante</x:v>
      </x:c>
      <x:c r="H33" s="152" t="str">
        <x:v>Position résultante</x:v>
      </x:c>
      <x:c r="I33" s="152" t="str">
        <x:v>Contrôle</x:v>
      </x:c>
      <x:c r="J33" s="152" t="str">
        <x:v>Description / remarque</x:v>
      </x:c>
      <x:c r="K33" s="129"/>
      <x:c r="L33" s="129"/>
    </x:row>
    <x:row r="34">
      <x:c r="A34" s="129"/>
      <x:c r="B34" s="170" t="str">
        <x:v>q1</x:v>
      </x:c>
      <x:c r="C34" s="171" t="n">
        <x:v>-4</x:v>
      </x:c>
      <x:c r="D34" s="171" t="n">
        <x:v>4</x:v>
      </x:c>
      <x:c r="E34" s="171" t="n">
        <x:v>8</x:v>
      </x:c>
      <x:c r="F34" s="172" t="n">
        <x:f>IF(B34="","",E34-D34)</x:f>
        <x:v>4</x:v>
      </x:c>
      <x:c r="G34" s="172" t="n">
        <x:f>IF(B34="","",C34*F34)</x:f>
        <x:v>-16</x:v>
      </x:c>
      <x:c r="H34" s="169" t="n">
        <x:f>IF(B34="","",(D34+E34)/2)</x:f>
        <x:v>6</x:v>
      </x:c>
      <x:c r="I34" s="169" t="str">
        <x:f>IF(B34="","",IF(AND(D34&gt;=0,E34&lt;=STRUCTURE!$C$13,E34&gt;D34),"OK","Erreur intervalle"))</x:f>
        <x:v>OK</x:v>
      </x:c>
      <x:c r="J34" s="164"/>
      <x:c r="K34" s="129"/>
      <x:c r="L34" s="129"/>
    </x:row>
    <x:row r="35">
      <x:c r="A35" s="129"/>
      <x:c r="B35" s="170"/>
      <x:c r="C35" s="171"/>
      <x:c r="D35" s="171"/>
      <x:c r="E35" s="171"/>
      <x:c r="F35" s="172" t="str">
        <x:f>IF(B35="","",E35-D35)</x:f>
      </x:c>
      <x:c r="G35" s="172" t="str">
        <x:f>IF(B35="","",C35*F35)</x:f>
      </x:c>
      <x:c r="H35" s="169" t="str">
        <x:f>IF(B35="","",(D35+E35)/2)</x:f>
      </x:c>
      <x:c r="I35" s="169" t="str">
        <x:f>IF(B35="","",IF(AND(D35&gt;=0,E35&lt;=STRUCTURE!$C$13,E35&gt;D35),"OK","Erreur intervalle"))</x:f>
      </x:c>
      <x:c r="J35" s="164"/>
      <x:c r="K35" s="129"/>
      <x:c r="L35" s="129"/>
    </x:row>
    <x:row r="36">
      <x:c r="A36" s="129"/>
      <x:c r="B36" s="170"/>
      <x:c r="C36" s="171"/>
      <x:c r="D36" s="171"/>
      <x:c r="E36" s="171"/>
      <x:c r="F36" s="172" t="str">
        <x:f>IF(B36="","",E36-D36)</x:f>
      </x:c>
      <x:c r="G36" s="172" t="str">
        <x:f>IF(B36="","",C36*F36)</x:f>
      </x:c>
      <x:c r="H36" s="169" t="str">
        <x:f>IF(B36="","",(D36+E36)/2)</x:f>
      </x:c>
      <x:c r="I36" s="169" t="str">
        <x:f>IF(B36="","",IF(AND(D36&gt;=0,E36&lt;=STRUCTURE!$C$13,E36&gt;D36),"OK","Erreur intervalle"))</x:f>
      </x:c>
      <x:c r="J36" s="164"/>
      <x:c r="K36" s="129"/>
      <x:c r="L36" s="129"/>
    </x:row>
    <x:row r="37">
      <x:c r="A37" s="129"/>
      <x:c r="B37" s="170"/>
      <x:c r="C37" s="171"/>
      <x:c r="D37" s="171"/>
      <x:c r="E37" s="171"/>
      <x:c r="F37" s="172" t="str">
        <x:f>IF(B37="","",E37-D37)</x:f>
      </x:c>
      <x:c r="G37" s="172" t="str">
        <x:f>IF(B37="","",C37*F37)</x:f>
      </x:c>
      <x:c r="H37" s="169" t="str">
        <x:f>IF(B37="","",(D37+E37)/2)</x:f>
      </x:c>
      <x:c r="I37" s="169" t="str">
        <x:f>IF(B37="","",IF(AND(D37&gt;=0,E37&lt;=STRUCTURE!$C$13,E37&gt;D37),"OK","Erreur intervalle"))</x:f>
      </x:c>
      <x:c r="J37" s="164"/>
      <x:c r="K37" s="129"/>
      <x:c r="L37" s="129"/>
    </x:row>
    <x:row r="38">
      <x:c r="A38" s="129"/>
      <x:c r="B38" s="170"/>
      <x:c r="C38" s="171"/>
      <x:c r="D38" s="171"/>
      <x:c r="E38" s="171"/>
      <x:c r="F38" s="172" t="str">
        <x:f>IF(B38="","",E38-D38)</x:f>
      </x:c>
      <x:c r="G38" s="172" t="str">
        <x:f>IF(B38="","",C38*F38)</x:f>
      </x:c>
      <x:c r="H38" s="169" t="str">
        <x:f>IF(B38="","",(D38+E38)/2)</x:f>
      </x:c>
      <x:c r="I38" s="169" t="str">
        <x:f>IF(B38="","",IF(AND(D38&gt;=0,E38&lt;=STRUCTURE!$C$13,E38&gt;D38),"OK","Erreur intervalle"))</x:f>
      </x:c>
      <x:c r="J38" s="164"/>
      <x:c r="K38" s="129"/>
      <x:c r="L38" s="129"/>
    </x:row>
    <x:row r="39">
      <x:c r="A39" s="129"/>
      <x:c r="B39" s="170"/>
      <x:c r="C39" s="171"/>
      <x:c r="D39" s="171"/>
      <x:c r="E39" s="171"/>
      <x:c r="F39" s="172" t="str">
        <x:f>IF(B39="","",E39-D39)</x:f>
      </x:c>
      <x:c r="G39" s="172" t="str">
        <x:f>IF(B39="","",C39*F39)</x:f>
      </x:c>
      <x:c r="H39" s="169" t="str">
        <x:f>IF(B39="","",(D39+E39)/2)</x:f>
      </x:c>
      <x:c r="I39" s="169" t="str">
        <x:f>IF(B39="","",IF(AND(D39&gt;=0,E39&lt;=STRUCTURE!$C$13,E39&gt;D39),"OK","Erreur intervalle"))</x:f>
      </x:c>
      <x:c r="J39" s="164"/>
      <x:c r="K39" s="129"/>
      <x:c r="L39" s="129"/>
    </x:row>
    <x:row r="40">
      <x:c r="A40" s="129"/>
      <x:c r="B40" s="170"/>
      <x:c r="C40" s="171"/>
      <x:c r="D40" s="171"/>
      <x:c r="E40" s="171"/>
      <x:c r="F40" s="172" t="str">
        <x:f>IF(B40="","",E40-D40)</x:f>
      </x:c>
      <x:c r="G40" s="172" t="str">
        <x:f>IF(B40="","",C40*F40)</x:f>
      </x:c>
      <x:c r="H40" s="169" t="str">
        <x:f>IF(B40="","",(D40+E40)/2)</x:f>
      </x:c>
      <x:c r="I40" s="169" t="str">
        <x:f>IF(B40="","",IF(AND(D40&gt;=0,E40&lt;=STRUCTURE!$C$13,E40&gt;D40),"OK","Erreur intervalle"))</x:f>
      </x:c>
      <x:c r="J40" s="164"/>
      <x:c r="K40" s="129"/>
      <x:c r="L40" s="129"/>
    </x:row>
    <x:row r="41">
      <x:c r="A41" s="129"/>
      <x:c r="B41" s="170"/>
      <x:c r="C41" s="171"/>
      <x:c r="D41" s="171"/>
      <x:c r="E41" s="171"/>
      <x:c r="F41" s="172" t="str">
        <x:f>IF(B41="","",E41-D41)</x:f>
      </x:c>
      <x:c r="G41" s="172" t="str">
        <x:f>IF(B41="","",C41*F41)</x:f>
      </x:c>
      <x:c r="H41" s="169" t="str">
        <x:f>IF(B41="","",(D41+E41)/2)</x:f>
      </x:c>
      <x:c r="I41" s="169" t="str">
        <x:f>IF(B41="","",IF(AND(D41&gt;=0,E41&lt;=STRUCTURE!$C$13,E41&gt;D41),"OK","Erreur intervalle"))</x:f>
      </x:c>
      <x:c r="J41" s="164"/>
      <x:c r="K41" s="129"/>
      <x:c r="L41" s="129"/>
    </x:row>
    <x:row r="42">
      <x:c r="A42" s="129"/>
      <x:c r="B42" s="129"/>
      <x:c r="C42" s="129"/>
      <x:c r="D42" s="129"/>
      <x:c r="E42" s="129"/>
      <x:c r="F42" s="129"/>
      <x:c r="G42" s="129"/>
      <x:c r="H42" s="129"/>
      <x:c r="I42" s="129"/>
      <x:c r="J42" s="129"/>
      <x:c r="K42" s="129"/>
      <x:c r="L42" s="129"/>
    </x:row>
    <x:row r="43">
      <x:c r="A43" s="129"/>
      <x:c r="B43" s="129"/>
      <x:c r="C43" s="129"/>
      <x:c r="D43" s="129"/>
      <x:c r="E43" s="129"/>
      <x:c r="F43" s="129"/>
      <x:c r="G43" s="129"/>
      <x:c r="H43" s="129"/>
      <x:c r="I43" s="129"/>
      <x:c r="J43" s="129"/>
      <x:c r="K43" s="129"/>
      <x:c r="L43" s="129"/>
    </x:row>
    <x:row r="44">
      <x:c r="A44" s="129"/>
      <x:c r="B44" s="166" t="str">
        <x:v>3. CONTRÔLE AUTOMATIQUE</x:v>
      </x:c>
      <x:c r="C44" s="166"/>
      <x:c r="D44" s="166"/>
      <x:c r="E44" s="166"/>
      <x:c r="F44" s="166"/>
      <x:c r="G44" s="166"/>
      <x:c r="H44" s="166"/>
      <x:c r="I44" s="166"/>
      <x:c r="J44" s="166"/>
      <x:c r="K44" s="166"/>
      <x:c r="L44" s="129"/>
    </x:row>
    <x:row r="45">
      <x:c r="A45" s="129"/>
      <x:c r="B45" s="129"/>
      <x:c r="C45" s="129"/>
      <x:c r="D45" s="129"/>
      <x:c r="E45" s="129"/>
      <x:c r="F45" s="129"/>
      <x:c r="G45" s="129"/>
      <x:c r="H45" s="129"/>
      <x:c r="I45" s="129"/>
      <x:c r="J45" s="129"/>
      <x:c r="K45" s="129"/>
      <x:c r="L45" s="129"/>
    </x:row>
    <x:row r="46">
      <x:c r="A46" s="129"/>
      <x:c r="B46" s="173" t="str">
        <x:v>Élément contrôlé</x:v>
      </x:c>
      <x:c r="C46" s="173" t="str">
        <x:v>Résultat</x:v>
      </x:c>
      <x:c r="D46" s="173" t="str">
        <x:v>Explication</x:v>
      </x:c>
      <x:c r="E46" s="129"/>
      <x:c r="F46" s="129"/>
      <x:c r="G46" s="129"/>
      <x:c r="H46" s="129"/>
      <x:c r="I46" s="129"/>
      <x:c r="J46" s="129"/>
      <x:c r="K46" s="129"/>
      <x:c r="L46" s="129"/>
    </x:row>
    <x:row r="47">
      <x:c r="A47" s="129"/>
      <x:c r="B47" s="164" t="str">
        <x:v>Forces ponctuelles</x:v>
      </x:c>
      <x:c r="C47" s="164" t="str">
        <x:f>IF(COUNTIF(G21:G28,"Hors poutre")=0,"OK","Erreur")</x:f>
        <x:v>OK</x:v>
      </x:c>
      <x:c r="D47" s="164" t="str">
        <x:v>Chaque force doit avoir une position x comprise entre 0 et L.</x:v>
      </x:c>
      <x:c r="E47" s="129"/>
      <x:c r="F47" s="129"/>
      <x:c r="G47" s="129"/>
      <x:c r="H47" s="129"/>
      <x:c r="I47" s="129"/>
      <x:c r="J47" s="129"/>
      <x:c r="K47" s="129"/>
      <x:c r="L47" s="129"/>
    </x:row>
    <x:row r="48">
      <x:c r="A48" s="129"/>
      <x:c r="B48" s="164" t="str">
        <x:v>Charges réparties</x:v>
      </x:c>
      <x:c r="C48" s="164" t="str">
        <x:f>IF(COUNTIF(I34:I41,"Erreur intervalle")=0,"OK","Erreur")</x:f>
        <x:v>OK</x:v>
      </x:c>
      <x:c r="D48" s="164" t="str">
        <x:v>Chaque charge répartie doit vérifier : 0 ≤ début &lt; fin ≤ L.</x:v>
      </x:c>
      <x:c r="E48" s="129"/>
      <x:c r="F48" s="129"/>
      <x:c r="G48" s="129"/>
      <x:c r="H48" s="129"/>
      <x:c r="I48" s="129"/>
      <x:c r="J48" s="129"/>
      <x:c r="K48" s="129"/>
      <x:c r="L48" s="129"/>
    </x:row>
    <x:row r="49">
      <x:c r="A49" s="129"/>
      <x:c r="B49" s="164" t="str">
        <x:v>Statut général</x:v>
      </x:c>
      <x:c r="C49" s="164" t="str">
        <x:f>IF(AND(C47="OK",C48="OK"),"CHARGES VALIDES","À CORRIGER")</x:f>
        <x:v>CHARGES VALIDES</x:v>
      </x:c>
      <x:c r="D49" s="164" t="str">
        <x:v>Le calcul peut être lancé seulement si les charges sont valides.</x:v>
      </x:c>
      <x:c r="E49" s="129"/>
      <x:c r="F49" s="129"/>
      <x:c r="G49" s="129"/>
      <x:c r="H49" s="129"/>
      <x:c r="I49" s="129"/>
      <x:c r="J49" s="129"/>
      <x:c r="K49" s="129"/>
      <x:c r="L49" s="129"/>
    </x:row>
    <x:row r="50">
      <x:c r="A50" s="129"/>
      <x:c r="B50" s="129"/>
      <x:c r="C50" s="129"/>
      <x:c r="D50" s="129"/>
      <x:c r="E50" s="129"/>
      <x:c r="F50" s="129"/>
      <x:c r="G50" s="129"/>
      <x:c r="H50" s="129"/>
      <x:c r="I50" s="129"/>
      <x:c r="J50" s="129"/>
      <x:c r="K50" s="129"/>
      <x:c r="L50" s="129"/>
    </x:row>
    <x:row r="51">
      <x:c r="A51" s="129"/>
      <x:c r="B51" s="129"/>
      <x:c r="C51" s="129"/>
      <x:c r="D51" s="129"/>
      <x:c r="E51" s="129"/>
      <x:c r="F51" s="129"/>
      <x:c r="G51" s="129"/>
      <x:c r="H51" s="129"/>
      <x:c r="I51" s="129"/>
      <x:c r="J51" s="129"/>
      <x:c r="K51" s="129"/>
      <x:c r="L51" s="129"/>
    </x:row>
    <x:row r="52">
      <x:c r="A52" s="129"/>
      <x:c r="B52" s="144" t="str">
        <x:v>Ajouter une force</x:v>
      </x:c>
      <x:c r="C52" s="144"/>
      <x:c r="D52" s="129"/>
      <x:c r="E52" s="152" t="str">
        <x:v>Ajouter une charge répartie</x:v>
      </x:c>
      <x:c r="F52" s="152"/>
      <x:c r="G52" s="129"/>
      <x:c r="H52" s="148" t="str">
        <x:v>Vérifier</x:v>
      </x:c>
      <x:c r="I52" s="148"/>
      <x:c r="J52" s="156" t="str">
        <x:v>Passer aux résultats</x:v>
      </x:c>
      <x:c r="K52" s="156"/>
      <x:c r="L52" s="129"/>
    </x:row>
    <x:row r="53">
      <x:c r="A53" s="129"/>
      <x:c r="B53" s="144"/>
      <x:c r="C53" s="144"/>
      <x:c r="D53" s="129"/>
      <x:c r="E53" s="152"/>
      <x:c r="F53" s="152"/>
      <x:c r="G53" s="129"/>
      <x:c r="H53" s="148"/>
      <x:c r="I53" s="148"/>
      <x:c r="J53" s="156"/>
      <x:c r="K53" s="156"/>
      <x:c r="L53" s="129"/>
    </x:row>
    <x:row r="54">
      <x:c r="A54" s="129"/>
      <x:c r="B54" s="129"/>
      <x:c r="C54" s="129"/>
      <x:c r="D54" s="129"/>
      <x:c r="E54" s="129"/>
      <x:c r="F54" s="129"/>
      <x:c r="G54" s="129"/>
      <x:c r="H54" s="129"/>
      <x:c r="I54" s="129"/>
      <x:c r="J54" s="129"/>
      <x:c r="K54" s="129"/>
      <x:c r="L54" s="129"/>
    </x:row>
    <x:row r="55">
      <x:c r="A55" s="129"/>
      <x:c r="B55" s="129"/>
      <x:c r="C55" s="129"/>
      <x:c r="D55" s="129"/>
      <x:c r="E55" s="129"/>
      <x:c r="F55" s="129"/>
      <x:c r="G55" s="129"/>
      <x:c r="H55" s="129"/>
      <x:c r="I55" s="129"/>
      <x:c r="J55" s="129"/>
      <x:c r="K55" s="129"/>
      <x:c r="L55" s="129"/>
    </x:row>
  </x:sheetData>
  <x:mergeCells>
    <x:mergeCell ref="B2:I3"/>
    <x:mergeCell ref="B5:I6"/>
    <x:mergeCell ref="B2:K3"/>
    <x:mergeCell ref="B4:K5"/>
    <x:mergeCell ref="B7:C8"/>
    <x:mergeCell ref="E7:F8"/>
    <x:mergeCell ref="H7:I8"/>
    <x:mergeCell ref="J7:K8"/>
    <x:mergeCell ref="B10:F11"/>
    <x:mergeCell ref="B12:F14"/>
    <x:mergeCell ref="H10:K11"/>
    <x:mergeCell ref="B18:K18"/>
    <x:mergeCell ref="B31:K31"/>
    <x:mergeCell ref="B44:K44"/>
    <x:mergeCell ref="B52:C53"/>
    <x:mergeCell ref="E52:F53"/>
    <x:mergeCell ref="H52:I53"/>
    <x:mergeCell ref="J52:K53"/>
  </x:mergeCells>
  <x:conditionalFormatting sqref="G21:G28">
    <x:cfRule type="expression" dxfId="0" priority="1">
      <x:formula>G21="OK"</x:formula>
    </x:cfRule>
    <x:cfRule type="expression" dxfId="1" priority="2">
      <x:formula>G21="Hors poutre"</x:formula>
    </x:cfRule>
  </x:conditionalFormatting>
  <x:conditionalFormatting sqref="I34:I41">
    <x:cfRule type="expression" dxfId="2" priority="3">
      <x:formula>I34="OK"</x:formula>
    </x:cfRule>
    <x:cfRule type="expression" dxfId="3" priority="4">
      <x:formula>I34="Erreur intervalle"</x:formula>
    </x:cfRule>
  </x:conditionalFormatting>
  <x:conditionalFormatting sqref="C47:C49">
    <x:cfRule type="expression" dxfId="4" priority="5">
      <x:formula>OR(C47="Erreur",C47="À CORRIGER")</x:formula>
    </x:cfRule>
    <x:cfRule type="expression" dxfId="5" priority="6">
      <x:formula>OR(C47="OK",C47="CHARGES VALIDES")</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3" hidden="0" customWidth="1"/>
    <x:col min="2" max="2" width="16" hidden="0" customWidth="1"/>
    <x:col min="3" max="3" width="16" hidden="0" customWidth="1"/>
    <x:col min="4" max="4" width="15" hidden="0" customWidth="1"/>
    <x:col min="5" max="5" width="15" hidden="0" customWidth="1"/>
    <x:col min="6" max="6" width="4" hidden="0" customWidth="1"/>
    <x:col min="7" max="7" width="16" hidden="0" customWidth="1"/>
    <x:col min="8" max="8" width="16" hidden="0" customWidth="1"/>
    <x:col min="9" max="9" width="15" hidden="0" customWidth="1"/>
    <x:col min="10" max="10" width="15" hidden="0" customWidth="1"/>
    <x:col min="11" max="11" width="3" hidden="0" customWidth="1"/>
  </x:cols>
  <x:sheetData>
    <x:row r="1" ht="22" customHeight="1">
      <x:c r="A1" s="221"/>
      <x:c r="B1" s="297"/>
      <x:c r="C1" s="297"/>
      <x:c r="D1" s="297"/>
      <x:c r="E1" s="297"/>
      <x:c r="F1" s="297"/>
      <x:c r="G1" s="297"/>
      <x:c r="H1" s="297"/>
      <x:c r="I1" s="297"/>
      <x:c r="J1" s="297"/>
      <x:c r="K1" s="221"/>
    </x:row>
    <x:row r="2" ht="22" customHeight="1">
      <x:c r="A2" s="221"/>
      <x:c r="B2" s="225" t="str">
        <x:v>RÉSULTATS DU CALCUL</x:v>
      </x:c>
      <x:c r="C2" s="225"/>
      <x:c r="D2" s="225"/>
      <x:c r="E2" s="225"/>
      <x:c r="F2" s="225"/>
      <x:c r="G2" s="225"/>
      <x:c r="H2" s="225"/>
      <x:c r="I2" s="225"/>
      <x:c r="J2" s="225"/>
      <x:c r="K2" s="221"/>
    </x:row>
    <x:row r="3" ht="22" customHeight="1">
      <x:c r="A3" s="221"/>
      <x:c r="B3" s="225"/>
      <x:c r="C3" s="225"/>
      <x:c r="D3" s="225"/>
      <x:c r="E3" s="225"/>
      <x:c r="F3" s="225"/>
      <x:c r="G3" s="225"/>
      <x:c r="H3" s="225"/>
      <x:c r="I3" s="225"/>
      <x:c r="J3" s="225"/>
      <x:c r="K3" s="221"/>
    </x:row>
    <x:row r="4" ht="22" customHeight="1">
      <x:c r="A4" s="221"/>
      <x:c r="B4" s="232" t="str">
        <x:v>Synthèse des réactions d’appui, efforts internes et valeurs maximales générées par le moteur Python.</x:v>
      </x:c>
      <x:c r="C4" s="232"/>
      <x:c r="D4" s="232"/>
      <x:c r="E4" s="232"/>
      <x:c r="F4" s="232"/>
      <x:c r="G4" s="232"/>
      <x:c r="H4" s="232"/>
      <x:c r="I4" s="232"/>
      <x:c r="J4" s="232"/>
      <x:c r="K4" s="221"/>
    </x:row>
    <x:row r="5" ht="22" customHeight="1">
      <x:c r="A5" s="221"/>
      <x:c r="B5" s="232"/>
      <x:c r="C5" s="232"/>
      <x:c r="D5" s="232"/>
      <x:c r="E5" s="232"/>
      <x:c r="F5" s="232"/>
      <x:c r="G5" s="232"/>
      <x:c r="H5" s="232"/>
      <x:c r="I5" s="232"/>
      <x:c r="J5" s="232"/>
      <x:c r="K5" s="221"/>
    </x:row>
    <x:row r="6" ht="22" customHeight="1">
      <x:c r="A6" s="221"/>
      <x:c r="B6" s="297"/>
      <x:c r="C6" s="297"/>
      <x:c r="D6" s="297"/>
      <x:c r="E6" s="297"/>
      <x:c r="F6" s="297"/>
      <x:c r="G6" s="297"/>
      <x:c r="H6" s="297"/>
      <x:c r="I6" s="297"/>
      <x:c r="J6" s="297"/>
      <x:c r="K6" s="221"/>
    </x:row>
    <x:row r="7" ht="22" customHeight="1">
      <x:c r="A7" s="221"/>
      <x:c r="B7" s="298" t="e">
        <x:f>HYPERLINK("#CHARGES!A1","← Charges")</x:f>
      </x:c>
      <x:c r="C7" s="298"/>
      <x:c r="D7" s="297"/>
      <x:c r="E7" s="299" t="str">
        <x:v>Actualiser résultats</x:v>
      </x:c>
      <x:c r="F7" s="299"/>
      <x:c r="G7" s="297"/>
      <x:c r="H7" s="300" t="e">
        <x:f>HYPERLINK("#DIAGRAMMES!A1","Voir diagrammes →")</x:f>
      </x:c>
      <x:c r="I7" s="300"/>
      <x:c r="J7" s="297"/>
      <x:c r="K7" s="221"/>
    </x:row>
    <x:row r="8" ht="22" customHeight="1">
      <x:c r="A8" s="221"/>
      <x:c r="B8" s="297"/>
      <x:c r="C8" s="297"/>
      <x:c r="D8" s="297"/>
      <x:c r="E8" s="297"/>
      <x:c r="F8" s="297"/>
      <x:c r="G8" s="297"/>
      <x:c r="H8" s="297"/>
      <x:c r="I8" s="297"/>
      <x:c r="J8" s="297"/>
      <x:c r="K8" s="221"/>
    </x:row>
    <x:row r="9" ht="22" customHeight="1">
      <x:c r="A9" s="221"/>
      <x:c r="B9" s="297"/>
      <x:c r="C9" s="297"/>
      <x:c r="D9" s="297"/>
      <x:c r="E9" s="297"/>
      <x:c r="F9" s="297"/>
      <x:c r="G9" s="297"/>
      <x:c r="H9" s="297"/>
      <x:c r="I9" s="297"/>
      <x:c r="J9" s="297"/>
      <x:c r="K9" s="221"/>
    </x:row>
    <x:row r="10" ht="22" customHeight="1">
      <x:c r="A10" s="221"/>
      <x:c r="B10" s="249" t="str">
        <x:v>1. ÉTAT DU CALCUL</x:v>
      </x:c>
      <x:c r="C10" s="249"/>
      <x:c r="D10" s="249"/>
      <x:c r="E10" s="249"/>
      <x:c r="F10" s="249"/>
      <x:c r="G10" s="249"/>
      <x:c r="H10" s="249"/>
      <x:c r="I10" s="249"/>
      <x:c r="J10" s="249"/>
      <x:c r="K10" s="221"/>
    </x:row>
    <x:row r="11" ht="22" customHeight="1">
      <x:c r="A11" s="221"/>
      <x:c r="B11" s="297"/>
      <x:c r="C11" s="297"/>
      <x:c r="D11" s="297"/>
      <x:c r="E11" s="297"/>
      <x:c r="F11" s="297"/>
      <x:c r="G11" s="297"/>
      <x:c r="H11" s="297"/>
      <x:c r="I11" s="297"/>
      <x:c r="J11" s="297"/>
      <x:c r="K11" s="221"/>
    </x:row>
    <x:row r="12" ht="22" customHeight="1">
      <x:c r="A12" s="221"/>
      <x:c r="B12" s="301" t="str">
        <x:v>Élément contrôlé</x:v>
      </x:c>
      <x:c r="C12" s="301" t="str">
        <x:v>Résultat</x:v>
      </x:c>
      <x:c r="D12" s="301" t="str">
        <x:v>Interprétation / remarque</x:v>
      </x:c>
      <x:c r="E12" s="297"/>
      <x:c r="F12" s="297"/>
      <x:c r="G12" s="297"/>
      <x:c r="H12" s="297"/>
      <x:c r="I12" s="297"/>
      <x:c r="J12" s="297"/>
      <x:c r="K12" s="221"/>
    </x:row>
    <x:row r="13" ht="22" customHeight="1">
      <x:c r="A13" s="221"/>
      <x:c r="B13" s="302" t="str">
        <x:v>Structure</x:v>
      </x:c>
      <x:c r="C13" s="303" t="str">
        <x:f>STRUCTURE!C37</x:f>
        <x:v>ISOSTATIQUE</x:v>
      </x:c>
      <x:c r="D13" s="304" t="str">
        <x:v>Doit être ISOSTATIQUE pour lancer le solveur.</x:v>
      </x:c>
      <x:c r="E13" s="297"/>
      <x:c r="F13" s="297"/>
      <x:c r="G13" s="297"/>
      <x:c r="H13" s="297"/>
      <x:c r="I13" s="297"/>
      <x:c r="J13" s="297"/>
      <x:c r="K13" s="221"/>
    </x:row>
    <x:row r="14" ht="22" customHeight="1">
      <x:c r="A14" s="221"/>
      <x:c r="B14" s="302" t="str">
        <x:v>Charges</x:v>
      </x:c>
      <x:c r="C14" s="303" t="str">
        <x:f>CHARGES!C49</x:f>
        <x:v>CHARGES VALIDES</x:v>
      </x:c>
      <x:c r="D14" s="304" t="str">
        <x:v>Les positions et intervalles doivent être valides.</x:v>
      </x:c>
      <x:c r="E14" s="297"/>
      <x:c r="F14" s="297"/>
      <x:c r="G14" s="297"/>
      <x:c r="H14" s="297"/>
      <x:c r="I14" s="297"/>
      <x:c r="J14" s="297"/>
      <x:c r="K14" s="221"/>
    </x:row>
    <x:row r="15" ht="22" customHeight="1">
      <x:c r="A15" s="221"/>
      <x:c r="B15" s="302" t="str">
        <x:v>État global</x:v>
      </x:c>
      <x:c r="C15" s="303" t="str">
        <x:f>IF(AND(C13="ISOSTATIQUE",C14="CHARGES VALIDES"),"PRÊT POUR LE CALCUL","À CORRIGER")</x:f>
        <x:v>PRÊT POUR LE CALCUL</x:v>
      </x:c>
      <x:c r="D15" s="304" t="str">
        <x:v>Indique si le calcul peut être lancé.</x:v>
      </x:c>
      <x:c r="E15" s="297"/>
      <x:c r="F15" s="297"/>
      <x:c r="G15" s="297"/>
      <x:c r="H15" s="297"/>
      <x:c r="I15" s="297"/>
      <x:c r="J15" s="297"/>
      <x:c r="K15" s="221"/>
    </x:row>
    <x:row r="16" ht="22" customHeight="1">
      <x:c r="A16" s="221"/>
      <x:c r="B16" s="302" t="str">
        <x:v>Source résultats</x:v>
      </x:c>
      <x:c r="C16" s="303" t="str">
        <x:v>Python / VBA</x:v>
      </x:c>
      <x:c r="D16" s="304" t="str">
        <x:v>Les cellules bleues ci-dessous sont destinées aux valeurs renvoyées par Python.</x:v>
      </x:c>
      <x:c r="E16" s="297"/>
      <x:c r="F16" s="297"/>
      <x:c r="G16" s="297"/>
      <x:c r="H16" s="297"/>
      <x:c r="I16" s="297"/>
      <x:c r="J16" s="297"/>
      <x:c r="K16" s="221"/>
    </x:row>
    <x:row r="17" ht="22" customHeight="1">
      <x:c r="A17" s="221"/>
      <x:c r="B17" s="297"/>
      <x:c r="C17" s="297"/>
      <x:c r="D17" s="297"/>
      <x:c r="E17" s="297"/>
      <x:c r="F17" s="297"/>
      <x:c r="G17" s="297"/>
      <x:c r="H17" s="297"/>
      <x:c r="I17" s="297"/>
      <x:c r="J17" s="297"/>
      <x:c r="K17" s="221"/>
    </x:row>
    <x:row r="18" ht="22" customHeight="1">
      <x:c r="A18" s="221"/>
      <x:c r="B18" s="262" t="str">
        <x:v>2. RÉACTIONS D’APPUI</x:v>
      </x:c>
      <x:c r="C18" s="262"/>
      <x:c r="D18" s="262"/>
      <x:c r="E18" s="262"/>
      <x:c r="F18" s="297"/>
      <x:c r="G18" s="268" t="str">
        <x:v>3. VALEURS MAXIMALES</x:v>
      </x:c>
      <x:c r="H18" s="268"/>
      <x:c r="I18" s="268"/>
      <x:c r="J18" s="268"/>
      <x:c r="K18" s="221"/>
    </x:row>
    <x:row r="19" ht="22" customHeight="1">
      <x:c r="A19" s="221"/>
      <x:c r="B19" s="297"/>
      <x:c r="C19" s="297"/>
      <x:c r="D19" s="297"/>
      <x:c r="E19" s="297"/>
      <x:c r="F19" s="297"/>
      <x:c r="G19" s="297"/>
      <x:c r="H19" s="297"/>
      <x:c r="I19" s="297"/>
      <x:c r="J19" s="297"/>
      <x:c r="K19" s="221"/>
    </x:row>
    <x:row r="20" ht="22" customHeight="1">
      <x:c r="A20" s="221"/>
      <x:c r="B20" s="301" t="str">
        <x:v>Réaction</x:v>
      </x:c>
      <x:c r="C20" s="301" t="str">
        <x:v>Appui</x:v>
      </x:c>
      <x:c r="D20" s="301" t="str">
        <x:v>Valeur</x:v>
      </x:c>
      <x:c r="E20" s="301" t="str">
        <x:v>Unité</x:v>
      </x:c>
      <x:c r="F20" s="297"/>
      <x:c r="G20" s="301" t="str">
        <x:v>Grandeur</x:v>
      </x:c>
      <x:c r="H20" s="301" t="str">
        <x:v>Valeur max</x:v>
      </x:c>
      <x:c r="I20" s="301" t="str">
        <x:v>Position x</x:v>
      </x:c>
      <x:c r="J20" s="301" t="str">
        <x:v>Unité</x:v>
      </x:c>
      <x:c r="K20" s="221"/>
    </x:row>
    <x:row r="21" ht="22" customHeight="1">
      <x:c r="A21" s="221"/>
      <x:c r="B21" s="302" t="str">
        <x:v>Ax</x:v>
      </x:c>
      <x:c r="C21" s="304" t="str">
        <x:v>A</x:v>
      </x:c>
      <x:c r="D21" s="305"/>
      <x:c r="E21" s="303" t="str">
        <x:v>kN</x:v>
      </x:c>
      <x:c r="F21" s="297"/>
      <x:c r="G21" s="302" t="str">
        <x:v>Nmax</x:v>
      </x:c>
      <x:c r="H21" s="305"/>
      <x:c r="I21" s="305"/>
      <x:c r="J21" s="303" t="str">
        <x:v>kN</x:v>
      </x:c>
      <x:c r="K21" s="221"/>
    </x:row>
    <x:row r="22" ht="22" customHeight="1">
      <x:c r="A22" s="221"/>
      <x:c r="B22" s="302" t="str">
        <x:v>Ay</x:v>
      </x:c>
      <x:c r="C22" s="304" t="str">
        <x:v>A</x:v>
      </x:c>
      <x:c r="D22" s="305"/>
      <x:c r="E22" s="303" t="str">
        <x:v>kN</x:v>
      </x:c>
      <x:c r="F22" s="297"/>
      <x:c r="G22" s="302" t="str">
        <x:v>Tmax</x:v>
      </x:c>
      <x:c r="H22" s="305"/>
      <x:c r="I22" s="305"/>
      <x:c r="J22" s="303" t="str">
        <x:v>kN</x:v>
      </x:c>
      <x:c r="K22" s="221"/>
    </x:row>
    <x:row r="23" ht="22" customHeight="1">
      <x:c r="A23" s="221"/>
      <x:c r="B23" s="302" t="str">
        <x:v>MA</x:v>
      </x:c>
      <x:c r="C23" s="304" t="str">
        <x:v>A</x:v>
      </x:c>
      <x:c r="D23" s="305"/>
      <x:c r="E23" s="303" t="str">
        <x:v>kN.m</x:v>
      </x:c>
      <x:c r="F23" s="297"/>
      <x:c r="G23" s="302" t="str">
        <x:v>Mmax</x:v>
      </x:c>
      <x:c r="H23" s="305"/>
      <x:c r="I23" s="305"/>
      <x:c r="J23" s="303" t="str">
        <x:v>kN.m</x:v>
      </x:c>
      <x:c r="K23" s="221"/>
    </x:row>
    <x:row r="24" ht="22" customHeight="1">
      <x:c r="A24" s="221"/>
      <x:c r="B24" s="302" t="str">
        <x:v>Bx</x:v>
      </x:c>
      <x:c r="C24" s="304" t="str">
        <x:v>B</x:v>
      </x:c>
      <x:c r="D24" s="305"/>
      <x:c r="E24" s="303" t="str">
        <x:v>kN</x:v>
      </x:c>
      <x:c r="F24" s="297"/>
      <x:c r="G24" s="302" t="str">
        <x:v>|N|max</x:v>
      </x:c>
      <x:c r="H24" s="305"/>
      <x:c r="I24" s="305"/>
      <x:c r="J24" s="303" t="str">
        <x:v>kN</x:v>
      </x:c>
      <x:c r="K24" s="221"/>
    </x:row>
    <x:row r="25" ht="22" customHeight="1">
      <x:c r="A25" s="221"/>
      <x:c r="B25" s="302" t="str">
        <x:v>By</x:v>
      </x:c>
      <x:c r="C25" s="304" t="str">
        <x:v>B</x:v>
      </x:c>
      <x:c r="D25" s="305"/>
      <x:c r="E25" s="303" t="str">
        <x:v>kN</x:v>
      </x:c>
      <x:c r="F25" s="297"/>
      <x:c r="G25" s="302" t="str">
        <x:v>|T|max</x:v>
      </x:c>
      <x:c r="H25" s="305"/>
      <x:c r="I25" s="305"/>
      <x:c r="J25" s="303" t="str">
        <x:v>kN</x:v>
      </x:c>
      <x:c r="K25" s="221"/>
    </x:row>
    <x:row r="26" ht="22" customHeight="1">
      <x:c r="A26" s="221"/>
      <x:c r="B26" s="302" t="str">
        <x:v>MB</x:v>
      </x:c>
      <x:c r="C26" s="304" t="str">
        <x:v>B</x:v>
      </x:c>
      <x:c r="D26" s="305"/>
      <x:c r="E26" s="303" t="str">
        <x:v>kN.m</x:v>
      </x:c>
      <x:c r="F26" s="297"/>
      <x:c r="G26" s="302" t="str">
        <x:v>|M|max</x:v>
      </x:c>
      <x:c r="H26" s="305"/>
      <x:c r="I26" s="305"/>
      <x:c r="J26" s="303" t="str">
        <x:v>kN.m</x:v>
      </x:c>
      <x:c r="K26" s="221"/>
    </x:row>
    <x:row r="27" ht="22" customHeight="1">
      <x:c r="A27" s="221"/>
      <x:c r="B27" s="302" t="str">
        <x:v>Autre</x:v>
      </x:c>
      <x:c r="C27" s="304" t="str"/>
      <x:c r="D27" s="305"/>
      <x:c r="E27" s="303" t="str"/>
      <x:c r="F27" s="297"/>
      <x:c r="G27" s="297"/>
      <x:c r="H27" s="297"/>
      <x:c r="I27" s="297"/>
      <x:c r="J27" s="297"/>
      <x:c r="K27" s="221"/>
    </x:row>
    <x:row r="28" ht="22" customHeight="1">
      <x:c r="A28" s="221"/>
      <x:c r="B28" s="297"/>
      <x:c r="C28" s="297"/>
      <x:c r="D28" s="297"/>
      <x:c r="E28" s="297"/>
      <x:c r="F28" s="297"/>
      <x:c r="G28" s="297"/>
      <x:c r="H28" s="297"/>
      <x:c r="I28" s="297"/>
      <x:c r="J28" s="297"/>
      <x:c r="K28" s="221"/>
    </x:row>
    <x:row r="29" ht="22" customHeight="1">
      <x:c r="A29" s="221"/>
      <x:c r="B29" s="297"/>
      <x:c r="C29" s="297"/>
      <x:c r="D29" s="297"/>
      <x:c r="E29" s="297"/>
      <x:c r="F29" s="297"/>
      <x:c r="G29" s="297"/>
      <x:c r="H29" s="297"/>
      <x:c r="I29" s="297"/>
      <x:c r="J29" s="297"/>
      <x:c r="K29" s="221"/>
    </x:row>
    <x:row r="30" ht="22" customHeight="1">
      <x:c r="A30" s="221"/>
      <x:c r="B30" s="273" t="str">
        <x:v>4. EFFORTS INTERNES À UNE POSITION DONNÉE</x:v>
      </x:c>
      <x:c r="C30" s="273"/>
      <x:c r="D30" s="273"/>
      <x:c r="E30" s="273"/>
      <x:c r="F30" s="297"/>
      <x:c r="G30" s="277" t="str">
        <x:v>5. SYNTHÈSE RAPIDE</x:v>
      </x:c>
      <x:c r="H30" s="277"/>
      <x:c r="I30" s="277"/>
      <x:c r="J30" s="277"/>
      <x:c r="K30" s="221"/>
    </x:row>
    <x:row r="31" ht="22" customHeight="1">
      <x:c r="A31" s="221"/>
      <x:c r="B31" s="297"/>
      <x:c r="C31" s="297"/>
      <x:c r="D31" s="297"/>
      <x:c r="E31" s="297"/>
      <x:c r="F31" s="297"/>
      <x:c r="G31" s="297"/>
      <x:c r="H31" s="297"/>
      <x:c r="I31" s="297"/>
      <x:c r="J31" s="297"/>
      <x:c r="K31" s="221"/>
    </x:row>
    <x:row r="32" ht="22" customHeight="1">
      <x:c r="A32" s="221"/>
      <x:c r="B32" s="301" t="str">
        <x:v>Paramètre</x:v>
      </x:c>
      <x:c r="C32" s="301" t="str">
        <x:v>Valeur</x:v>
      </x:c>
      <x:c r="D32" s="301" t="str">
        <x:v>Unité</x:v>
      </x:c>
      <x:c r="E32" s="301" t="str">
        <x:v>Commentaire</x:v>
      </x:c>
      <x:c r="F32" s="297"/>
      <x:c r="G32" s="301" t="str">
        <x:v>Indicateur</x:v>
      </x:c>
      <x:c r="H32" s="301" t="str">
        <x:v>Valeur</x:v>
      </x:c>
      <x:c r="I32" s="301" t="str">
        <x:v>Unité</x:v>
      </x:c>
      <x:c r="J32" s="301" t="str">
        <x:v>Lecture</x:v>
      </x:c>
      <x:c r="K32" s="221"/>
    </x:row>
    <x:row r="33" ht="22" customHeight="1">
      <x:c r="A33" s="221"/>
      <x:c r="B33" s="302" t="str">
        <x:v>Position x demandée</x:v>
      </x:c>
      <x:c r="C33" s="305"/>
      <x:c r="D33" s="304" t="str">
        <x:v>m</x:v>
      </x:c>
      <x:c r="E33" s="304" t="str">
        <x:v>À saisir par l’utilisateur ou envoyé à Python.</x:v>
      </x:c>
      <x:c r="F33" s="297"/>
      <x:c r="G33" s="304" t="str">
        <x:v>Longueur poutre</x:v>
      </x:c>
      <x:c r="H33" s="306" t="n">
        <x:f>STRUCTURE!C13</x:f>
        <x:v>10</x:v>
      </x:c>
      <x:c r="I33" s="304" t="str">
        <x:v>m</x:v>
      </x:c>
      <x:c r="J33" s="304" t="str">
        <x:v>Donnée issue de la feuille STRUCTURE.</x:v>
      </x:c>
      <x:c r="K33" s="221"/>
    </x:row>
    <x:row r="34" ht="22" customHeight="1">
      <x:c r="A34" s="221"/>
      <x:c r="B34" s="302" t="str">
        <x:v>N(x)</x:v>
      </x:c>
      <x:c r="C34" s="305"/>
      <x:c r="D34" s="304" t="str">
        <x:v>kN</x:v>
      </x:c>
      <x:c r="E34" s="304" t="str">
        <x:v>Effort normal à la section x.</x:v>
      </x:c>
      <x:c r="F34" s="297"/>
      <x:c r="G34" s="304" t="str">
        <x:v>Charge verticale totale</x:v>
      </x:c>
      <x:c r="H34" s="306" t="n">
        <x:f>CHARGES!I15</x:f>
        <x:v>-16</x:v>
      </x:c>
      <x:c r="I34" s="304" t="str">
        <x:v>kN</x:v>
      </x:c>
      <x:c r="J34" s="304" t="str">
        <x:v>Somme Fy + résultantes q.</x:v>
      </x:c>
      <x:c r="K34" s="221"/>
    </x:row>
    <x:row r="35" ht="22" customHeight="1">
      <x:c r="A35" s="221"/>
      <x:c r="B35" s="302" t="str">
        <x:v>T(x)</x:v>
      </x:c>
      <x:c r="C35" s="305"/>
      <x:c r="D35" s="304" t="str">
        <x:v>kN</x:v>
      </x:c>
      <x:c r="E35" s="304" t="str">
        <x:v>Effort tranchant à la section x.</x:v>
      </x:c>
      <x:c r="F35" s="297"/>
      <x:c r="G35" s="304" t="str">
        <x:v>Nombre d’appuis</x:v>
      </x:c>
      <x:c r="H35" s="306" t="n">
        <x:f>COUNTA(STRUCTURE!B20:B29)</x:f>
        <x:v>2</x:v>
      </x:c>
      <x:c r="I35" s="304" t="str">
        <x:v>-</x:v>
      </x:c>
      <x:c r="J35" s="304" t="str">
        <x:v>Appuis saisis dans STRUCTURE.</x:v>
      </x:c>
      <x:c r="K35" s="221"/>
    </x:row>
    <x:row r="36" ht="22" customHeight="1">
      <x:c r="A36" s="221"/>
      <x:c r="B36" s="302" t="str">
        <x:v>M(x)</x:v>
      </x:c>
      <x:c r="C36" s="305"/>
      <x:c r="D36" s="304" t="str">
        <x:v>kN.m</x:v>
      </x:c>
      <x:c r="E36" s="304" t="str">
        <x:v>Moment fléchissant à la section x.</x:v>
      </x:c>
      <x:c r="F36" s="297"/>
      <x:c r="G36" s="304" t="str">
        <x:v>Nombre de points diagrammes</x:v>
      </x:c>
      <x:c r="H36" s="306" t="n">
        <x:f>STRUCTURE!C14</x:f>
        <x:v>100</x:v>
      </x:c>
      <x:c r="I36" s="304" t="str">
        <x:v>-</x:v>
      </x:c>
      <x:c r="J36" s="304" t="str">
        <x:v>Utilisé pour générer N, T et M.</x:v>
      </x:c>
      <x:c r="K36" s="221"/>
    </x:row>
    <x:row r="37" ht="22" customHeight="1">
      <x:c r="A37" s="221"/>
      <x:c r="B37" s="297"/>
      <x:c r="C37" s="297"/>
      <x:c r="D37" s="297"/>
      <x:c r="E37" s="297"/>
      <x:c r="F37" s="297"/>
      <x:c r="G37" s="297"/>
      <x:c r="H37" s="297"/>
      <x:c r="I37" s="297"/>
      <x:c r="J37" s="297"/>
      <x:c r="K37" s="221"/>
    </x:row>
    <x:row r="38" ht="22" customHeight="1">
      <x:c r="A38" s="221"/>
      <x:c r="B38" s="297"/>
      <x:c r="C38" s="297"/>
      <x:c r="D38" s="297"/>
      <x:c r="E38" s="297"/>
      <x:c r="F38" s="297"/>
      <x:c r="G38" s="297"/>
      <x:c r="H38" s="297"/>
      <x:c r="I38" s="297"/>
      <x:c r="J38" s="297"/>
      <x:c r="K38" s="221"/>
    </x:row>
    <x:row r="39" ht="22" customHeight="1">
      <x:c r="A39" s="221"/>
      <x:c r="B39" s="297"/>
      <x:c r="C39" s="297"/>
      <x:c r="D39" s="297"/>
      <x:c r="E39" s="297"/>
      <x:c r="F39" s="297"/>
      <x:c r="G39" s="297"/>
      <x:c r="H39" s="297"/>
      <x:c r="I39" s="297"/>
      <x:c r="J39" s="297"/>
      <x:c r="K39" s="221"/>
    </x:row>
    <x:row r="40" ht="22" customHeight="1">
      <x:c r="A40" s="221"/>
      <x:c r="B40" s="249" t="str">
        <x:v>6. ZONE DE SORTIE PYTHON / VBA</x:v>
      </x:c>
      <x:c r="C40" s="249"/>
      <x:c r="D40" s="249"/>
      <x:c r="E40" s="249"/>
      <x:c r="F40" s="249"/>
      <x:c r="G40" s="249"/>
      <x:c r="H40" s="249"/>
      <x:c r="I40" s="249"/>
      <x:c r="J40" s="249"/>
      <x:c r="K40" s="221"/>
    </x:row>
    <x:row r="41" ht="22" customHeight="1">
      <x:c r="A41" s="221"/>
      <x:c r="B41" s="297"/>
      <x:c r="C41" s="297"/>
      <x:c r="D41" s="297"/>
      <x:c r="E41" s="297"/>
      <x:c r="F41" s="297"/>
      <x:c r="G41" s="297"/>
      <x:c r="H41" s="297"/>
      <x:c r="I41" s="297"/>
      <x:c r="J41" s="297"/>
      <x:c r="K41" s="221"/>
    </x:row>
    <x:row r="42" ht="22" customHeight="1">
      <x:c r="A42" s="221"/>
      <x:c r="B42" s="301" t="str">
        <x:v>Clé</x:v>
      </x:c>
      <x:c r="C42" s="301" t="str">
        <x:v>Valeur</x:v>
      </x:c>
      <x:c r="D42" s="301" t="str">
        <x:v>Unité</x:v>
      </x:c>
      <x:c r="E42" s="301" t="str">
        <x:v>Description</x:v>
      </x:c>
      <x:c r="F42" s="301"/>
      <x:c r="G42" s="301" t="str">
        <x:v>Clé</x:v>
      </x:c>
      <x:c r="H42" s="301" t="str">
        <x:v>Valeur</x:v>
      </x:c>
      <x:c r="I42" s="301" t="str">
        <x:v>Unité</x:v>
      </x:c>
      <x:c r="J42" s="301" t="str">
        <x:v>Description</x:v>
      </x:c>
      <x:c r="K42" s="221"/>
    </x:row>
    <x:row r="43" ht="22" customHeight="1">
      <x:c r="A43" s="221"/>
      <x:c r="B43" s="304" t="str">
        <x:v>Ay</x:v>
      </x:c>
      <x:c r="C43" s="305"/>
      <x:c r="D43" s="304" t="str">
        <x:v>kN</x:v>
      </x:c>
      <x:c r="E43" s="304" t="str">
        <x:v>Réaction verticale à l’appui A</x:v>
      </x:c>
      <x:c r="F43" s="304"/>
      <x:c r="G43" s="304" t="str">
        <x:v>Nmax</x:v>
      </x:c>
      <x:c r="H43" s="305"/>
      <x:c r="I43" s="304" t="str">
        <x:v>kN</x:v>
      </x:c>
      <x:c r="J43" s="304" t="str">
        <x:v>Valeur maximale de N</x:v>
      </x:c>
      <x:c r="K43" s="221"/>
    </x:row>
    <x:row r="44" ht="22" customHeight="1">
      <x:c r="A44" s="221"/>
      <x:c r="B44" s="304" t="str">
        <x:v>Ax</x:v>
      </x:c>
      <x:c r="C44" s="305"/>
      <x:c r="D44" s="304" t="str">
        <x:v>kN</x:v>
      </x:c>
      <x:c r="E44" s="304" t="str">
        <x:v>Réaction horizontale à l’appui A</x:v>
      </x:c>
      <x:c r="F44" s="304"/>
      <x:c r="G44" s="304" t="str">
        <x:v>x_Nmax</x:v>
      </x:c>
      <x:c r="H44" s="305"/>
      <x:c r="I44" s="304" t="str">
        <x:v>m</x:v>
      </x:c>
      <x:c r="J44" s="304" t="str">
        <x:v>Position du maximum de N</x:v>
      </x:c>
      <x:c r="K44" s="221"/>
    </x:row>
    <x:row r="45" ht="22" customHeight="1">
      <x:c r="A45" s="221"/>
      <x:c r="B45" s="304" t="str">
        <x:v>By</x:v>
      </x:c>
      <x:c r="C45" s="305"/>
      <x:c r="D45" s="304" t="str">
        <x:v>kN</x:v>
      </x:c>
      <x:c r="E45" s="304" t="str">
        <x:v>Réaction verticale à l’appui B</x:v>
      </x:c>
      <x:c r="F45" s="304"/>
      <x:c r="G45" s="304" t="str">
        <x:v>Tmax</x:v>
      </x:c>
      <x:c r="H45" s="305"/>
      <x:c r="I45" s="304" t="str">
        <x:v>kN</x:v>
      </x:c>
      <x:c r="J45" s="304" t="str">
        <x:v>Valeur maximale de T</x:v>
      </x:c>
      <x:c r="K45" s="221"/>
    </x:row>
    <x:row r="46" ht="22" customHeight="1">
      <x:c r="A46" s="221"/>
      <x:c r="B46" s="304" t="str">
        <x:v>N_local</x:v>
      </x:c>
      <x:c r="C46" s="305"/>
      <x:c r="D46" s="304" t="str">
        <x:v>kN</x:v>
      </x:c>
      <x:c r="E46" s="304" t="str">
        <x:v>Effort normal à x demandé</x:v>
      </x:c>
      <x:c r="F46" s="304"/>
      <x:c r="G46" s="304" t="str">
        <x:v>x_Tmax</x:v>
      </x:c>
      <x:c r="H46" s="305"/>
      <x:c r="I46" s="304" t="str">
        <x:v>m</x:v>
      </x:c>
      <x:c r="J46" s="304" t="str">
        <x:v>Position du maximum de T</x:v>
      </x:c>
      <x:c r="K46" s="221"/>
    </x:row>
    <x:row r="47" ht="22" customHeight="1">
      <x:c r="A47" s="221"/>
      <x:c r="B47" s="304" t="str">
        <x:v>T_local</x:v>
      </x:c>
      <x:c r="C47" s="305"/>
      <x:c r="D47" s="304" t="str">
        <x:v>kN</x:v>
      </x:c>
      <x:c r="E47" s="304" t="str">
        <x:v>Effort tranchant à x demandé</x:v>
      </x:c>
      <x:c r="F47" s="304"/>
      <x:c r="G47" s="304" t="str">
        <x:v>Mmax</x:v>
      </x:c>
      <x:c r="H47" s="305"/>
      <x:c r="I47" s="304" t="str">
        <x:v>kN.m</x:v>
      </x:c>
      <x:c r="J47" s="304" t="str">
        <x:v>Valeur maximale de M</x:v>
      </x:c>
      <x:c r="K47" s="221"/>
    </x:row>
    <x:row r="48" ht="22" customHeight="1">
      <x:c r="A48" s="221"/>
      <x:c r="B48" s="304" t="str">
        <x:v>M_local</x:v>
      </x:c>
      <x:c r="C48" s="305"/>
      <x:c r="D48" s="304" t="str">
        <x:v>kN.m</x:v>
      </x:c>
      <x:c r="E48" s="304" t="str">
        <x:v>Moment fléchissant à x demandé</x:v>
      </x:c>
      <x:c r="F48" s="304"/>
      <x:c r="G48" s="304" t="str">
        <x:v>x_Mmax</x:v>
      </x:c>
      <x:c r="H48" s="305"/>
      <x:c r="I48" s="304" t="str">
        <x:v>m</x:v>
      </x:c>
      <x:c r="J48" s="304" t="str">
        <x:v>Position du maximum de M</x:v>
      </x:c>
      <x:c r="K48" s="221"/>
    </x:row>
    <x:row r="49" ht="22" customHeight="1">
      <x:c r="A49" s="221"/>
      <x:c r="B49" s="304" t="str">
        <x:v>x_local</x:v>
      </x:c>
      <x:c r="C49" s="305"/>
      <x:c r="D49" s="304" t="str">
        <x:v>m</x:v>
      </x:c>
      <x:c r="E49" s="304" t="str">
        <x:v>Position utilisée pour les efforts internes</x:v>
      </x:c>
      <x:c r="F49" s="304"/>
      <x:c r="G49" s="304" t="str">
        <x:v>nb_points</x:v>
      </x:c>
      <x:c r="H49" s="305"/>
      <x:c r="I49" s="304" t="str">
        <x:v>-</x:v>
      </x:c>
      <x:c r="J49" s="304" t="str">
        <x:v>Nombre de points générés</x:v>
      </x:c>
      <x:c r="K49" s="221"/>
    </x:row>
    <x:row r="50" ht="22" customHeight="1">
      <x:c r="A50" s="221"/>
      <x:c r="B50" s="304" t="str">
        <x:v>statut_python</x:v>
      </x:c>
      <x:c r="C50" s="305"/>
      <x:c r="D50" s="304" t="str">
        <x:v>-</x:v>
      </x:c>
      <x:c r="E50" s="304" t="str">
        <x:v>Message renvoyé par le solveur</x:v>
      </x:c>
      <x:c r="F50" s="304"/>
      <x:c r="G50" s="304" t="str">
        <x:v>erreur</x:v>
      </x:c>
      <x:c r="H50" s="305"/>
      <x:c r="I50" s="304" t="str">
        <x:v>-</x:v>
      </x:c>
      <x:c r="J50" s="304" t="str">
        <x:v>Message d’erreur éventuel</x:v>
      </x:c>
      <x:c r="K50" s="221"/>
    </x:row>
    <x:row r="51" ht="22" customHeight="1">
      <x:c r="A51" s="221"/>
      <x:c r="B51" s="297"/>
      <x:c r="C51" s="297"/>
      <x:c r="D51" s="297"/>
      <x:c r="E51" s="297"/>
      <x:c r="F51" s="297"/>
      <x:c r="G51" s="297"/>
      <x:c r="H51" s="297"/>
      <x:c r="I51" s="297"/>
      <x:c r="J51" s="297"/>
      <x:c r="K51" s="221"/>
    </x:row>
    <x:row r="52" ht="22" customHeight="1">
      <x:c r="A52" s="221"/>
      <x:c r="B52" s="297"/>
      <x:c r="C52" s="297"/>
      <x:c r="D52" s="297"/>
      <x:c r="E52" s="297"/>
      <x:c r="F52" s="297"/>
      <x:c r="G52" s="297"/>
      <x:c r="H52" s="297"/>
      <x:c r="I52" s="297"/>
      <x:c r="J52" s="297"/>
      <x:c r="K52" s="221"/>
    </x:row>
    <x:row r="53" ht="22" customHeight="1">
      <x:c r="A53" s="221"/>
      <x:c r="B53" s="249" t="str">
        <x:v>REMARQUE D’UTILISATION</x:v>
      </x:c>
      <x:c r="C53" s="249"/>
      <x:c r="D53" s="249"/>
      <x:c r="E53" s="249"/>
      <x:c r="F53" s="249"/>
      <x:c r="G53" s="249"/>
      <x:c r="H53" s="249"/>
      <x:c r="I53" s="249"/>
      <x:c r="J53" s="249"/>
      <x:c r="K53" s="221"/>
    </x:row>
    <x:row r="54" ht="22" customHeight="1">
      <x:c r="A54" s="221"/>
      <x:c r="B54" s="282" t="str">
        <x:v>Cette feuille est pensée comme une interface de restitution. Dans la version finale, VBA lancera le script Python, récupérera les réactions, les efforts internes et les maxima, puis remplira automatiquement les cellules bleues. Les tableaux visibles permettent déjà de structurer proprement les résultats avant la génération des diagrammes.</x:v>
      </x:c>
      <x:c r="C54" s="283"/>
      <x:c r="D54" s="283"/>
      <x:c r="E54" s="283"/>
      <x:c r="F54" s="283"/>
      <x:c r="G54" s="283"/>
      <x:c r="H54" s="283"/>
      <x:c r="I54" s="283"/>
      <x:c r="J54" s="284"/>
      <x:c r="K54" s="221"/>
    </x:row>
    <x:row r="55" ht="22" customHeight="1">
      <x:c r="A55" s="221"/>
      <x:c r="B55" s="285"/>
      <x:c r="C55" s="286"/>
      <x:c r="D55" s="286"/>
      <x:c r="E55" s="286"/>
      <x:c r="F55" s="286"/>
      <x:c r="G55" s="286"/>
      <x:c r="H55" s="286"/>
      <x:c r="I55" s="286"/>
      <x:c r="J55" s="287"/>
      <x:c r="K55" s="221"/>
    </x:row>
    <x:row r="56" ht="22" customHeight="1">
      <x:c r="A56" s="221"/>
      <x:c r="B56" s="285"/>
      <x:c r="C56" s="286"/>
      <x:c r="D56" s="286"/>
      <x:c r="E56" s="286"/>
      <x:c r="F56" s="286"/>
      <x:c r="G56" s="286"/>
      <x:c r="H56" s="286"/>
      <x:c r="I56" s="286"/>
      <x:c r="J56" s="287"/>
      <x:c r="K56" s="221"/>
    </x:row>
    <x:row r="57" ht="22" customHeight="1">
      <x:c r="A57" s="221"/>
      <x:c r="B57" s="288"/>
      <x:c r="C57" s="289"/>
      <x:c r="D57" s="289"/>
      <x:c r="E57" s="289"/>
      <x:c r="F57" s="289"/>
      <x:c r="G57" s="289"/>
      <x:c r="H57" s="289"/>
      <x:c r="I57" s="289"/>
      <x:c r="J57" s="290"/>
      <x:c r="K57" s="221"/>
    </x:row>
    <x:row r="58" ht="22" customHeight="1">
      <x:c r="A58" s="221"/>
      <x:c r="B58" s="297"/>
      <x:c r="C58" s="297"/>
      <x:c r="D58" s="297"/>
      <x:c r="E58" s="297"/>
      <x:c r="F58" s="297"/>
      <x:c r="G58" s="297"/>
      <x:c r="H58" s="297"/>
      <x:c r="I58" s="297"/>
      <x:c r="J58" s="297"/>
      <x:c r="K58" s="221"/>
    </x:row>
    <x:row r="59" ht="22" customHeight="1">
      <x:c r="A59" s="221"/>
      <x:c r="B59" s="297"/>
      <x:c r="C59" s="297"/>
      <x:c r="D59" s="297"/>
      <x:c r="E59" s="297"/>
      <x:c r="F59" s="297"/>
      <x:c r="G59" s="297"/>
      <x:c r="H59" s="297"/>
      <x:c r="I59" s="297"/>
      <x:c r="J59" s="297"/>
      <x:c r="K59" s="221"/>
    </x:row>
    <x:row r="60" ht="22" customHeight="1">
      <x:c r="A60" s="221"/>
      <x:c r="B60" s="297"/>
      <x:c r="C60" s="297"/>
      <x:c r="D60" s="297"/>
      <x:c r="E60" s="297"/>
      <x:c r="F60" s="297"/>
      <x:c r="G60" s="297"/>
      <x:c r="H60" s="297"/>
      <x:c r="I60" s="297"/>
      <x:c r="J60" s="297"/>
      <x:c r="K60" s="221"/>
    </x:row>
  </x:sheetData>
  <x:mergeCells>
    <x:mergeCell ref="B2:J3"/>
    <x:mergeCell ref="B4:J5"/>
    <x:mergeCell ref="B7:C7"/>
    <x:mergeCell ref="E7:F7"/>
    <x:mergeCell ref="H7:I7"/>
    <x:mergeCell ref="B10:J10"/>
    <x:mergeCell ref="B18:E18"/>
    <x:mergeCell ref="G18:J18"/>
    <x:mergeCell ref="B30:E30"/>
    <x:mergeCell ref="G30:J30"/>
    <x:mergeCell ref="B40:J40"/>
    <x:mergeCell ref="B53:J53"/>
    <x:mergeCell ref="B54:J57"/>
  </x:mergeCells>
  <x:conditionalFormatting sqref="C13:C15">
    <x:cfRule type="expression" dxfId="6" priority="1">
      <x:formula>C13="ISOSTATIQUE"</x:formula>
    </x:cfRule>
    <x:cfRule type="expression" dxfId="7" priority="2">
      <x:formula>OR(C13="À CORRIGER",C13&lt;&gt;"ISOSTATIQUE")</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3" hidden="0" customWidth="1"/>
    <x:col min="2" max="2" width="15" hidden="0" customWidth="1"/>
    <x:col min="3" max="3" width="15" hidden="0" customWidth="1"/>
    <x:col min="4" max="4" width="15" hidden="0" customWidth="1"/>
    <x:col min="5" max="5" width="15" hidden="0" customWidth="1"/>
    <x:col min="6" max="6" width="4" hidden="0" customWidth="1"/>
    <x:col min="7" max="7" width="16" hidden="0" customWidth="1"/>
    <x:col min="8" max="8" width="16" hidden="0" customWidth="1"/>
    <x:col min="9" max="9" width="16" hidden="0" customWidth="1"/>
    <x:col min="10" max="10" width="16" hidden="0" customWidth="1"/>
    <x:col min="11" max="11" width="3" hidden="0" customWidth="1"/>
  </x:cols>
  <x:sheetData>
    <x:row r="1" ht="22" customHeight="1">
      <x:c r="A1" s="376"/>
      <x:c r="B1" s="376"/>
      <x:c r="C1" s="376"/>
      <x:c r="D1" s="376"/>
      <x:c r="E1" s="376"/>
      <x:c r="F1" s="376"/>
      <x:c r="G1" s="376"/>
      <x:c r="H1" s="376"/>
      <x:c r="I1" s="376"/>
      <x:c r="J1" s="376"/>
      <x:c r="K1" s="377"/>
    </x:row>
    <x:row r="2" ht="30" customHeight="1">
      <x:c r="A2" s="376"/>
      <x:c r="B2" s="385" t="str">
        <x:v>DIAGRAMMES MÉCANIQUES</x:v>
      </x:c>
      <x:c r="C2" s="386"/>
      <x:c r="D2" s="386"/>
      <x:c r="E2" s="386"/>
      <x:c r="F2" s="386"/>
      <x:c r="G2" s="386"/>
      <x:c r="H2" s="386"/>
      <x:c r="I2" s="386"/>
      <x:c r="J2" s="387"/>
      <x:c r="K2" s="377"/>
    </x:row>
    <x:row r="3" ht="30" customHeight="1">
      <x:c r="A3" s="376"/>
      <x:c r="B3" s="388"/>
      <x:c r="C3" s="389"/>
      <x:c r="D3" s="389"/>
      <x:c r="E3" s="389"/>
      <x:c r="F3" s="389"/>
      <x:c r="G3" s="389"/>
      <x:c r="H3" s="389"/>
      <x:c r="I3" s="389"/>
      <x:c r="J3" s="390"/>
      <x:c r="K3" s="377"/>
    </x:row>
    <x:row r="4" ht="22" customHeight="1">
      <x:c r="A4" s="376"/>
      <x:c r="B4" s="397" t="str">
        <x:v>Visualisation des efforts internes N(x), T(x) et M(x) le long de la poutre.</x:v>
      </x:c>
      <x:c r="C4" s="398"/>
      <x:c r="D4" s="398"/>
      <x:c r="E4" s="398"/>
      <x:c r="F4" s="398"/>
      <x:c r="G4" s="398"/>
      <x:c r="H4" s="398"/>
      <x:c r="I4" s="398"/>
      <x:c r="J4" s="399"/>
      <x:c r="K4" s="377"/>
    </x:row>
    <x:row r="5" ht="22" customHeight="1">
      <x:c r="A5" s="376"/>
      <x:c r="B5" s="400"/>
      <x:c r="C5" s="401"/>
      <x:c r="D5" s="401"/>
      <x:c r="E5" s="401"/>
      <x:c r="F5" s="401"/>
      <x:c r="G5" s="401"/>
      <x:c r="H5" s="401"/>
      <x:c r="I5" s="401"/>
      <x:c r="J5" s="402"/>
      <x:c r="K5" s="377"/>
    </x:row>
    <x:row r="6" ht="22" customHeight="1">
      <x:c r="A6" s="376"/>
      <x:c r="B6" s="376"/>
      <x:c r="C6" s="376"/>
      <x:c r="D6" s="376"/>
      <x:c r="E6" s="376"/>
      <x:c r="F6" s="376"/>
      <x:c r="G6" s="376"/>
      <x:c r="H6" s="376"/>
      <x:c r="I6" s="376"/>
      <x:c r="J6" s="376"/>
      <x:c r="K6" s="377"/>
    </x:row>
    <x:row r="7" ht="26" customHeight="1">
      <x:c r="A7" s="376"/>
      <x:c r="B7" s="407" t="str">
        <x:v>← Résultats</x:v>
      </x:c>
      <x:c r="C7" s="408"/>
      <x:c r="D7" s="416" t="str">
        <x:v>Actualiser données</x:v>
      </x:c>
      <x:c r="E7" s="417"/>
      <x:c r="F7" s="425" t="str">
        <x:v>Générer graphiques</x:v>
      </x:c>
      <x:c r="G7" s="426"/>
      <x:c r="H7" s="434" t="str">
        <x:v>Exporter diagrammes</x:v>
      </x:c>
      <x:c r="I7" s="435"/>
      <x:c r="J7" s="436"/>
      <x:c r="K7" s="377"/>
    </x:row>
    <x:row r="8" ht="26" customHeight="1">
      <x:c r="A8" s="376"/>
      <x:c r="B8" s="409"/>
      <x:c r="C8" s="410"/>
      <x:c r="D8" s="418"/>
      <x:c r="E8" s="419"/>
      <x:c r="F8" s="427"/>
      <x:c r="G8" s="428"/>
      <x:c r="H8" s="437"/>
      <x:c r="I8" s="438"/>
      <x:c r="J8" s="439"/>
      <x:c r="K8" s="377"/>
    </x:row>
    <x:row r="9" ht="22" customHeight="1">
      <x:c r="A9" s="376"/>
      <x:c r="B9" s="376"/>
      <x:c r="C9" s="376"/>
      <x:c r="D9" s="376"/>
      <x:c r="E9" s="376"/>
      <x:c r="F9" s="376"/>
      <x:c r="G9" s="376"/>
      <x:c r="H9" s="376"/>
      <x:c r="I9" s="376"/>
      <x:c r="J9" s="376"/>
      <x:c r="K9" s="377"/>
    </x:row>
    <x:row r="10" ht="22" customHeight="1">
      <x:c r="A10" s="376"/>
      <x:c r="B10" s="444" t="str">
        <x:v>1. SCHÉMA SIMPLIFIÉ DE LA POUTRE</x:v>
      </x:c>
      <x:c r="C10" s="445"/>
      <x:c r="D10" s="445"/>
      <x:c r="E10" s="445"/>
      <x:c r="F10" s="445"/>
      <x:c r="G10" s="445"/>
      <x:c r="H10" s="445"/>
      <x:c r="I10" s="445"/>
      <x:c r="J10" s="446"/>
      <x:c r="K10" s="377"/>
    </x:row>
    <x:row r="11" ht="30" customHeight="1">
      <x:c r="A11" s="376"/>
      <x:c r="B11" s="452" t="str">
        <x:v>A ─────────────── F1 ─────────────── q(x) ─────────────── B
0 m                                      x                                      L</x:v>
      </x:c>
      <x:c r="C11" s="453"/>
      <x:c r="D11" s="453"/>
      <x:c r="E11" s="453"/>
      <x:c r="F11" s="453"/>
      <x:c r="G11" s="453"/>
      <x:c r="H11" s="453"/>
      <x:c r="I11" s="453"/>
      <x:c r="J11" s="454"/>
      <x:c r="K11" s="377"/>
    </x:row>
    <x:row r="12" ht="30" customHeight="1">
      <x:c r="A12" s="376"/>
      <x:c r="B12" s="455"/>
      <x:c r="C12" s="456"/>
      <x:c r="D12" s="456"/>
      <x:c r="E12" s="456"/>
      <x:c r="F12" s="456"/>
      <x:c r="G12" s="456"/>
      <x:c r="H12" s="456"/>
      <x:c r="I12" s="456"/>
      <x:c r="J12" s="457"/>
      <x:c r="K12" s="377"/>
    </x:row>
    <x:row r="13" ht="30" customHeight="1">
      <x:c r="A13" s="376"/>
      <x:c r="B13" s="455"/>
      <x:c r="C13" s="456"/>
      <x:c r="D13" s="456"/>
      <x:c r="E13" s="456"/>
      <x:c r="F13" s="456"/>
      <x:c r="G13" s="456"/>
      <x:c r="H13" s="456"/>
      <x:c r="I13" s="456"/>
      <x:c r="J13" s="457"/>
      <x:c r="K13" s="377"/>
    </x:row>
    <x:row r="14" ht="30" customHeight="1">
      <x:c r="A14" s="376"/>
      <x:c r="B14" s="458"/>
      <x:c r="C14" s="459"/>
      <x:c r="D14" s="459"/>
      <x:c r="E14" s="459"/>
      <x:c r="F14" s="459"/>
      <x:c r="G14" s="459"/>
      <x:c r="H14" s="459"/>
      <x:c r="I14" s="459"/>
      <x:c r="J14" s="460"/>
      <x:c r="K14" s="377"/>
    </x:row>
    <x:row r="15" ht="22" customHeight="1">
      <x:c r="A15" s="376"/>
      <x:c r="B15" s="376"/>
      <x:c r="C15" s="376"/>
      <x:c r="D15" s="376"/>
      <x:c r="E15" s="376"/>
      <x:c r="F15" s="376"/>
      <x:c r="G15" s="376"/>
      <x:c r="H15" s="376"/>
      <x:c r="I15" s="376"/>
      <x:c r="J15" s="376"/>
      <x:c r="K15" s="377"/>
    </x:row>
    <x:row r="16" ht="22" customHeight="1">
      <x:c r="A16" s="376"/>
      <x:c r="B16" s="444" t="str">
        <x:v>2. PARAMÈTRES DES DIAGRAMMES</x:v>
      </x:c>
      <x:c r="C16" s="445"/>
      <x:c r="D16" s="445"/>
      <x:c r="E16" s="446"/>
      <x:c r="F16" s="376"/>
      <x:c r="G16" s="444" t="str">
        <x:v>3. CONVENTIONS DE LECTURE</x:v>
      </x:c>
      <x:c r="H16" s="445"/>
      <x:c r="I16" s="445"/>
      <x:c r="J16" s="446"/>
      <x:c r="K16" s="377"/>
    </x:row>
    <x:row r="17" ht="22" customHeight="1">
      <x:c r="A17" s="376"/>
      <x:c r="B17" s="461" t="str">
        <x:v>Paramètre</x:v>
      </x:c>
      <x:c r="C17" s="462" t="str">
        <x:v>Valeur</x:v>
      </x:c>
      <x:c r="D17" s="462" t="str">
        <x:v>Unité</x:v>
      </x:c>
      <x:c r="E17" s="463" t="str">
        <x:v>Source</x:v>
      </x:c>
      <x:c r="F17" s="376"/>
      <x:c r="G17" s="476" t="str">
        <x:v>N(x) : effort normal
T(x) : effort tranchant
M(x) : moment fléchissant
Les courbes sont générées à partir des valeurs renvoyées par Python/VBA.</x:v>
      </x:c>
      <x:c r="H17" s="477"/>
      <x:c r="I17" s="477"/>
      <x:c r="J17" s="478"/>
      <x:c r="K17" s="377"/>
    </x:row>
    <x:row r="18" ht="22" customHeight="1">
      <x:c r="A18" s="376"/>
      <x:c r="B18" s="464" t="str">
        <x:v>Longueur L</x:v>
      </x:c>
      <x:c r="C18" s="470" t="n">
        <x:f>STRUCTURE!C13</x:f>
        <x:v>10</x:v>
      </x:c>
      <x:c r="D18" s="465" t="str">
        <x:v>m</x:v>
      </x:c>
      <x:c r="E18" s="466" t="str">
        <x:v>Feuille STRUCTURE</x:v>
      </x:c>
      <x:c r="F18" s="376"/>
      <x:c r="G18" s="479"/>
      <x:c r="H18" s="480"/>
      <x:c r="I18" s="480"/>
      <x:c r="J18" s="481"/>
      <x:c r="K18" s="377"/>
    </x:row>
    <x:row r="19" ht="22" customHeight="1">
      <x:c r="A19" s="376"/>
      <x:c r="B19" s="464" t="str">
        <x:v>Nombre de points</x:v>
      </x:c>
      <x:c r="C19" s="470" t="n">
        <x:f>STRUCTURE!C14</x:f>
        <x:v>100</x:v>
      </x:c>
      <x:c r="D19" s="465" t="str">
        <x:v>-</x:v>
      </x:c>
      <x:c r="E19" s="466" t="str">
        <x:v>Feuille STRUCTURE</x:v>
      </x:c>
      <x:c r="F19" s="376"/>
      <x:c r="G19" s="479"/>
      <x:c r="H19" s="480"/>
      <x:c r="I19" s="480"/>
      <x:c r="J19" s="481"/>
      <x:c r="K19" s="377"/>
    </x:row>
    <x:row r="20" ht="22" customHeight="1">
      <x:c r="A20" s="376"/>
      <x:c r="B20" s="467" t="str">
        <x:v>Pas Δx</x:v>
      </x:c>
      <x:c r="C20" s="471" t="n">
        <x:f>IFERROR(C18/(C19-1),"")</x:f>
        <x:v>0.10101010101010101</x:v>
      </x:c>
      <x:c r="D20" s="468" t="str">
        <x:v>m</x:v>
      </x:c>
      <x:c r="E20" s="469" t="str">
        <x:v>Calcul automatique</x:v>
      </x:c>
      <x:c r="F20" s="376"/>
      <x:c r="G20" s="482"/>
      <x:c r="H20" s="483"/>
      <x:c r="I20" s="483"/>
      <x:c r="J20" s="484"/>
      <x:c r="K20" s="377"/>
    </x:row>
    <x:row r="21" ht="22" customHeight="1">
      <x:c r="A21" s="377"/>
      <x:c r="B21" s="377"/>
      <x:c r="C21" s="377"/>
      <x:c r="D21" s="377"/>
      <x:c r="E21" s="377"/>
      <x:c r="F21" s="377"/>
      <x:c r="G21" s="377"/>
      <x:c r="H21" s="377"/>
      <x:c r="I21" s="377"/>
      <x:c r="J21" s="377"/>
      <x:c r="K21" s="377"/>
    </x:row>
    <x:row r="22" ht="22" customHeight="1">
      <x:c r="A22" s="377"/>
      <x:c r="B22" s="444" t="str">
        <x:v>4. DONNÉES SOURCES POUR LES GRAPHIQUES</x:v>
      </x:c>
      <x:c r="C22" s="445"/>
      <x:c r="D22" s="445"/>
      <x:c r="E22" s="446"/>
      <x:c r="F22" s="377"/>
      <x:c r="G22" s="444" t="str">
        <x:v>5. GRAPHIQUES AUTOMATIQUES</x:v>
      </x:c>
      <x:c r="H22" s="445"/>
      <x:c r="I22" s="445"/>
      <x:c r="J22" s="446"/>
      <x:c r="K22" s="377"/>
    </x:row>
    <x:row r="23" ht="22" customHeight="1">
      <x:c r="A23" s="377"/>
      <x:c r="B23" s="461" t="str">
        <x:v>x (m)</x:v>
      </x:c>
      <x:c r="C23" s="462" t="str">
        <x:v>N(x) kN</x:v>
      </x:c>
      <x:c r="D23" s="462" t="str">
        <x:v>T(x) kN</x:v>
      </x:c>
      <x:c r="E23" s="463" t="str">
        <x:v>M(x) kN.m</x:v>
      </x:c>
      <x:c r="F23" s="377"/>
      <x:c r="G23" s="377"/>
      <x:c r="H23" s="377"/>
      <x:c r="I23" s="377"/>
      <x:c r="J23" s="377"/>
      <x:c r="K23" s="377"/>
    </x:row>
    <x:row r="24" ht="22" customHeight="1">
      <x:c r="A24" s="377"/>
      <x:c r="B24" s="494" t="n">
        <x:f>IFERROR((0)*STRUCTURE!$C$13/(STRUCTURE!$C$14-1),"")</x:f>
        <x:v>0</x:v>
      </x:c>
      <x:c r="C24" s="495" t="n">
        <x:f>0</x:f>
        <x:v>0</x:v>
      </x:c>
      <x:c r="D24" s="495" t="n">
        <x:f>0</x:f>
        <x:v>0</x:v>
      </x:c>
      <x:c r="E24" s="496" t="n">
        <x:f>0</x:f>
        <x:v>0</x:v>
      </x:c>
      <x:c r="F24" s="377"/>
      <x:c r="G24" s="377"/>
      <x:c r="H24" s="377"/>
      <x:c r="I24" s="377"/>
      <x:c r="J24" s="377"/>
      <x:c r="K24" s="377"/>
    </x:row>
    <x:row r="25" ht="22" customHeight="1">
      <x:c r="A25" s="377"/>
      <x:c r="B25" s="494" t="n">
        <x:f>IFERROR((1)*STRUCTURE!$C$13/(STRUCTURE!$C$14-1),"")</x:f>
        <x:v>0.10101010101010101</x:v>
      </x:c>
      <x:c r="C25" s="495" t="n">
        <x:f>0</x:f>
        <x:v>0</x:v>
      </x:c>
      <x:c r="D25" s="495" t="n">
        <x:f>0</x:f>
        <x:v>0</x:v>
      </x:c>
      <x:c r="E25" s="496" t="n">
        <x:f>0</x:f>
        <x:v>0</x:v>
      </x:c>
      <x:c r="F25" s="377"/>
      <x:c r="G25" s="377"/>
      <x:c r="H25" s="377"/>
      <x:c r="I25" s="377"/>
      <x:c r="J25" s="377"/>
      <x:c r="K25" s="377"/>
    </x:row>
    <x:row r="26" ht="22" customHeight="1">
      <x:c r="A26" s="377"/>
      <x:c r="B26" s="494" t="n">
        <x:f>IFERROR((2)*STRUCTURE!$C$13/(STRUCTURE!$C$14-1),"")</x:f>
        <x:v>0.20202020202020202</x:v>
      </x:c>
      <x:c r="C26" s="495" t="n">
        <x:f>0</x:f>
        <x:v>0</x:v>
      </x:c>
      <x:c r="D26" s="495" t="n">
        <x:f>0</x:f>
        <x:v>0</x:v>
      </x:c>
      <x:c r="E26" s="496" t="n">
        <x:f>0</x:f>
        <x:v>0</x:v>
      </x:c>
      <x:c r="F26" s="377"/>
      <x:c r="G26" s="377"/>
      <x:c r="H26" s="377"/>
      <x:c r="I26" s="377"/>
      <x:c r="J26" s="377"/>
      <x:c r="K26" s="377"/>
    </x:row>
    <x:row r="27" ht="22" customHeight="1">
      <x:c r="A27" s="377"/>
      <x:c r="B27" s="494" t="n">
        <x:f>IFERROR((3)*STRUCTURE!$C$13/(STRUCTURE!$C$14-1),"")</x:f>
        <x:v>0.30303030303030304</x:v>
      </x:c>
      <x:c r="C27" s="495" t="n">
        <x:f>0</x:f>
        <x:v>0</x:v>
      </x:c>
      <x:c r="D27" s="495" t="n">
        <x:f>0</x:f>
        <x:v>0</x:v>
      </x:c>
      <x:c r="E27" s="496" t="n">
        <x:f>0</x:f>
        <x:v>0</x:v>
      </x:c>
      <x:c r="F27" s="377"/>
      <x:c r="G27" s="377"/>
      <x:c r="H27" s="377"/>
      <x:c r="I27" s="377"/>
      <x:c r="J27" s="377"/>
      <x:c r="K27" s="377"/>
    </x:row>
    <x:row r="28" ht="22" customHeight="1">
      <x:c r="A28" s="377"/>
      <x:c r="B28" s="494" t="n">
        <x:f>IFERROR((4)*STRUCTURE!$C$13/(STRUCTURE!$C$14-1),"")</x:f>
        <x:v>0.40404040404040403</x:v>
      </x:c>
      <x:c r="C28" s="495" t="n">
        <x:f>0</x:f>
        <x:v>0</x:v>
      </x:c>
      <x:c r="D28" s="495" t="n">
        <x:f>0</x:f>
        <x:v>0</x:v>
      </x:c>
      <x:c r="E28" s="496" t="n">
        <x:f>0</x:f>
        <x:v>0</x:v>
      </x:c>
      <x:c r="F28" s="377"/>
      <x:c r="G28" s="377"/>
      <x:c r="H28" s="377"/>
      <x:c r="I28" s="377"/>
      <x:c r="J28" s="377"/>
      <x:c r="K28" s="377"/>
    </x:row>
    <x:row r="29" ht="22" customHeight="1">
      <x:c r="A29" s="377"/>
      <x:c r="B29" s="494" t="n">
        <x:f>IFERROR((5)*STRUCTURE!$C$13/(STRUCTURE!$C$14-1),"")</x:f>
        <x:v>0.5050505050505051</x:v>
      </x:c>
      <x:c r="C29" s="495" t="n">
        <x:f>0</x:f>
        <x:v>0</x:v>
      </x:c>
      <x:c r="D29" s="495" t="n">
        <x:f>0</x:f>
        <x:v>0</x:v>
      </x:c>
      <x:c r="E29" s="496" t="n">
        <x:f>0</x:f>
        <x:v>0</x:v>
      </x:c>
      <x:c r="F29" s="377"/>
      <x:c r="G29" s="377"/>
      <x:c r="H29" s="377"/>
      <x:c r="I29" s="377"/>
      <x:c r="J29" s="377"/>
      <x:c r="K29" s="377"/>
    </x:row>
    <x:row r="30" ht="22" customHeight="1">
      <x:c r="A30" s="377"/>
      <x:c r="B30" s="494" t="n">
        <x:f>IFERROR((6)*STRUCTURE!$C$13/(STRUCTURE!$C$14-1),"")</x:f>
        <x:v>0.6060606060606061</x:v>
      </x:c>
      <x:c r="C30" s="495" t="n">
        <x:f>0</x:f>
        <x:v>0</x:v>
      </x:c>
      <x:c r="D30" s="495" t="n">
        <x:f>0</x:f>
        <x:v>0</x:v>
      </x:c>
      <x:c r="E30" s="496" t="n">
        <x:f>0</x:f>
        <x:v>0</x:v>
      </x:c>
      <x:c r="F30" s="377"/>
      <x:c r="G30" s="377"/>
      <x:c r="H30" s="377"/>
      <x:c r="I30" s="377"/>
      <x:c r="J30" s="377"/>
      <x:c r="K30" s="377"/>
    </x:row>
    <x:row r="31" ht="22" customHeight="1">
      <x:c r="A31" s="377"/>
      <x:c r="B31" s="494" t="n">
        <x:f>IFERROR((7)*STRUCTURE!$C$13/(STRUCTURE!$C$14-1),"")</x:f>
        <x:v>0.7070707070707071</x:v>
      </x:c>
      <x:c r="C31" s="495" t="n">
        <x:f>0</x:f>
        <x:v>0</x:v>
      </x:c>
      <x:c r="D31" s="495" t="n">
        <x:f>0</x:f>
        <x:v>0</x:v>
      </x:c>
      <x:c r="E31" s="496" t="n">
        <x:f>0</x:f>
        <x:v>0</x:v>
      </x:c>
      <x:c r="F31" s="377"/>
      <x:c r="G31" s="377"/>
      <x:c r="H31" s="377"/>
      <x:c r="I31" s="377"/>
      <x:c r="J31" s="377"/>
      <x:c r="K31" s="377"/>
    </x:row>
    <x:row r="32" ht="22" customHeight="1">
      <x:c r="A32" s="377"/>
      <x:c r="B32" s="494" t="n">
        <x:f>IFERROR((8)*STRUCTURE!$C$13/(STRUCTURE!$C$14-1),"")</x:f>
        <x:v>0.8080808080808081</x:v>
      </x:c>
      <x:c r="C32" s="495" t="n">
        <x:f>0</x:f>
        <x:v>0</x:v>
      </x:c>
      <x:c r="D32" s="495" t="n">
        <x:f>0</x:f>
        <x:v>0</x:v>
      </x:c>
      <x:c r="E32" s="496" t="n">
        <x:f>0</x:f>
        <x:v>0</x:v>
      </x:c>
      <x:c r="F32" s="377"/>
      <x:c r="G32" s="377"/>
      <x:c r="H32" s="377"/>
      <x:c r="I32" s="377"/>
      <x:c r="J32" s="377"/>
      <x:c r="K32" s="377"/>
    </x:row>
    <x:row r="33" ht="22" customHeight="1">
      <x:c r="A33" s="377"/>
      <x:c r="B33" s="494" t="n">
        <x:f>IFERROR((9)*STRUCTURE!$C$13/(STRUCTURE!$C$14-1),"")</x:f>
        <x:v>0.9090909090909091</x:v>
      </x:c>
      <x:c r="C33" s="495" t="n">
        <x:f>0</x:f>
        <x:v>0</x:v>
      </x:c>
      <x:c r="D33" s="495" t="n">
        <x:f>0</x:f>
        <x:v>0</x:v>
      </x:c>
      <x:c r="E33" s="496" t="n">
        <x:f>0</x:f>
        <x:v>0</x:v>
      </x:c>
      <x:c r="F33" s="377"/>
      <x:c r="G33" s="377"/>
      <x:c r="H33" s="377"/>
      <x:c r="I33" s="377"/>
      <x:c r="J33" s="377"/>
      <x:c r="K33" s="377"/>
    </x:row>
    <x:row r="34" ht="22" customHeight="1">
      <x:c r="A34" s="377"/>
      <x:c r="B34" s="494" t="n">
        <x:f>IFERROR((10)*STRUCTURE!$C$13/(STRUCTURE!$C$14-1),"")</x:f>
        <x:v>1.0101010101010102</x:v>
      </x:c>
      <x:c r="C34" s="495" t="n">
        <x:f>0</x:f>
        <x:v>0</x:v>
      </x:c>
      <x:c r="D34" s="495" t="n">
        <x:f>0</x:f>
        <x:v>0</x:v>
      </x:c>
      <x:c r="E34" s="496" t="n">
        <x:f>0</x:f>
        <x:v>0</x:v>
      </x:c>
      <x:c r="F34" s="377"/>
      <x:c r="G34" s="377"/>
      <x:c r="H34" s="377"/>
      <x:c r="I34" s="377"/>
      <x:c r="J34" s="377"/>
      <x:c r="K34" s="377"/>
    </x:row>
    <x:row r="35" ht="22" customHeight="1">
      <x:c r="A35" s="377"/>
      <x:c r="B35" s="494" t="n">
        <x:f>IFERROR((11)*STRUCTURE!$C$13/(STRUCTURE!$C$14-1),"")</x:f>
        <x:v>1.1111111111111112</x:v>
      </x:c>
      <x:c r="C35" s="495" t="n">
        <x:f>0</x:f>
        <x:v>0</x:v>
      </x:c>
      <x:c r="D35" s="495" t="n">
        <x:f>0</x:f>
        <x:v>0</x:v>
      </x:c>
      <x:c r="E35" s="496" t="n">
        <x:f>0</x:f>
        <x:v>0</x:v>
      </x:c>
      <x:c r="F35" s="377"/>
      <x:c r="G35" s="377"/>
      <x:c r="H35" s="377"/>
      <x:c r="I35" s="377"/>
      <x:c r="J35" s="377"/>
      <x:c r="K35" s="377"/>
    </x:row>
    <x:row r="36" ht="22" customHeight="1">
      <x:c r="A36" s="377"/>
      <x:c r="B36" s="494" t="n">
        <x:f>IFERROR((12)*STRUCTURE!$C$13/(STRUCTURE!$C$14-1),"")</x:f>
        <x:v>1.2121212121212122</x:v>
      </x:c>
      <x:c r="C36" s="495" t="n">
        <x:f>0</x:f>
        <x:v>0</x:v>
      </x:c>
      <x:c r="D36" s="495" t="n">
        <x:f>0</x:f>
        <x:v>0</x:v>
      </x:c>
      <x:c r="E36" s="496" t="n">
        <x:f>0</x:f>
        <x:v>0</x:v>
      </x:c>
      <x:c r="F36" s="377"/>
      <x:c r="G36" s="377"/>
      <x:c r="H36" s="377"/>
      <x:c r="I36" s="377"/>
      <x:c r="J36" s="377"/>
      <x:c r="K36" s="377"/>
    </x:row>
    <x:row r="37" ht="22" customHeight="1">
      <x:c r="A37" s="377"/>
      <x:c r="B37" s="494" t="n">
        <x:f>IFERROR((13)*STRUCTURE!$C$13/(STRUCTURE!$C$14-1),"")</x:f>
        <x:v>1.3131313131313131</x:v>
      </x:c>
      <x:c r="C37" s="495" t="n">
        <x:f>0</x:f>
        <x:v>0</x:v>
      </x:c>
      <x:c r="D37" s="495" t="n">
        <x:f>0</x:f>
        <x:v>0</x:v>
      </x:c>
      <x:c r="E37" s="496" t="n">
        <x:f>0</x:f>
        <x:v>0</x:v>
      </x:c>
      <x:c r="F37" s="377"/>
      <x:c r="G37" s="377"/>
      <x:c r="H37" s="377"/>
      <x:c r="I37" s="377"/>
      <x:c r="J37" s="377"/>
      <x:c r="K37" s="377"/>
    </x:row>
    <x:row r="38" ht="22" customHeight="1">
      <x:c r="A38" s="377"/>
      <x:c r="B38" s="494" t="n">
        <x:f>IFERROR((14)*STRUCTURE!$C$13/(STRUCTURE!$C$14-1),"")</x:f>
        <x:v>1.4141414141414141</x:v>
      </x:c>
      <x:c r="C38" s="495" t="n">
        <x:f>0</x:f>
        <x:v>0</x:v>
      </x:c>
      <x:c r="D38" s="495" t="n">
        <x:f>0</x:f>
        <x:v>0</x:v>
      </x:c>
      <x:c r="E38" s="496" t="n">
        <x:f>0</x:f>
        <x:v>0</x:v>
      </x:c>
      <x:c r="F38" s="377"/>
      <x:c r="G38" s="377"/>
      <x:c r="H38" s="377"/>
      <x:c r="I38" s="377"/>
      <x:c r="J38" s="377"/>
      <x:c r="K38" s="377"/>
    </x:row>
    <x:row r="39" ht="22" customHeight="1">
      <x:c r="A39" s="377"/>
      <x:c r="B39" s="494" t="n">
        <x:f>IFERROR((15)*STRUCTURE!$C$13/(STRUCTURE!$C$14-1),"")</x:f>
        <x:v>1.5151515151515151</x:v>
      </x:c>
      <x:c r="C39" s="495" t="n">
        <x:f>0</x:f>
        <x:v>0</x:v>
      </x:c>
      <x:c r="D39" s="495" t="n">
        <x:f>0</x:f>
        <x:v>0</x:v>
      </x:c>
      <x:c r="E39" s="496" t="n">
        <x:f>0</x:f>
        <x:v>0</x:v>
      </x:c>
      <x:c r="F39" s="377"/>
      <x:c r="G39" s="377"/>
      <x:c r="H39" s="377"/>
      <x:c r="I39" s="377"/>
      <x:c r="J39" s="377"/>
      <x:c r="K39" s="377"/>
    </x:row>
    <x:row r="40" ht="22" customHeight="1">
      <x:c r="A40" s="377"/>
      <x:c r="B40" s="494" t="n">
        <x:f>IFERROR((16)*STRUCTURE!$C$13/(STRUCTURE!$C$14-1),"")</x:f>
        <x:v>1.6161616161616161</x:v>
      </x:c>
      <x:c r="C40" s="495" t="n">
        <x:f>0</x:f>
        <x:v>0</x:v>
      </x:c>
      <x:c r="D40" s="495" t="n">
        <x:f>0</x:f>
        <x:v>0</x:v>
      </x:c>
      <x:c r="E40" s="496" t="n">
        <x:f>0</x:f>
        <x:v>0</x:v>
      </x:c>
      <x:c r="F40" s="377"/>
      <x:c r="G40" s="377"/>
      <x:c r="H40" s="377"/>
      <x:c r="I40" s="377"/>
      <x:c r="J40" s="377"/>
      <x:c r="K40" s="377"/>
    </x:row>
    <x:row r="41" ht="22" customHeight="1">
      <x:c r="A41" s="377"/>
      <x:c r="B41" s="494" t="n">
        <x:f>IFERROR((17)*STRUCTURE!$C$13/(STRUCTURE!$C$14-1),"")</x:f>
        <x:v>1.7171717171717171</x:v>
      </x:c>
      <x:c r="C41" s="495" t="n">
        <x:f>0</x:f>
        <x:v>0</x:v>
      </x:c>
      <x:c r="D41" s="495" t="n">
        <x:f>0</x:f>
        <x:v>0</x:v>
      </x:c>
      <x:c r="E41" s="496" t="n">
        <x:f>0</x:f>
        <x:v>0</x:v>
      </x:c>
      <x:c r="F41" s="377"/>
      <x:c r="G41" s="377"/>
      <x:c r="H41" s="377"/>
      <x:c r="I41" s="377"/>
      <x:c r="J41" s="377"/>
      <x:c r="K41" s="377"/>
    </x:row>
    <x:row r="42" ht="22" customHeight="1">
      <x:c r="A42" s="377"/>
      <x:c r="B42" s="494" t="n">
        <x:f>IFERROR((18)*STRUCTURE!$C$13/(STRUCTURE!$C$14-1),"")</x:f>
        <x:v>1.8181818181818181</x:v>
      </x:c>
      <x:c r="C42" s="495" t="n">
        <x:f>0</x:f>
        <x:v>0</x:v>
      </x:c>
      <x:c r="D42" s="495" t="n">
        <x:f>0</x:f>
        <x:v>0</x:v>
      </x:c>
      <x:c r="E42" s="496" t="n">
        <x:f>0</x:f>
        <x:v>0</x:v>
      </x:c>
      <x:c r="F42" s="377"/>
      <x:c r="G42" s="377"/>
      <x:c r="H42" s="377"/>
      <x:c r="I42" s="377"/>
      <x:c r="J42" s="377"/>
      <x:c r="K42" s="377"/>
    </x:row>
    <x:row r="43" ht="22" customHeight="1">
      <x:c r="A43" s="377"/>
      <x:c r="B43" s="494" t="n">
        <x:f>IFERROR((19)*STRUCTURE!$C$13/(STRUCTURE!$C$14-1),"")</x:f>
        <x:v>1.9191919191919191</x:v>
      </x:c>
      <x:c r="C43" s="495" t="n">
        <x:f>0</x:f>
        <x:v>0</x:v>
      </x:c>
      <x:c r="D43" s="495" t="n">
        <x:f>0</x:f>
        <x:v>0</x:v>
      </x:c>
      <x:c r="E43" s="496" t="n">
        <x:f>0</x:f>
        <x:v>0</x:v>
      </x:c>
      <x:c r="F43" s="377"/>
      <x:c r="G43" s="377"/>
      <x:c r="H43" s="377"/>
      <x:c r="I43" s="377"/>
      <x:c r="J43" s="377"/>
      <x:c r="K43" s="377"/>
    </x:row>
    <x:row r="44" ht="22" customHeight="1">
      <x:c r="A44" s="377"/>
      <x:c r="B44" s="494" t="n">
        <x:f>IFERROR((20)*STRUCTURE!$C$13/(STRUCTURE!$C$14-1),"")</x:f>
        <x:v>2.0202020202020203</x:v>
      </x:c>
      <x:c r="C44" s="495" t="n">
        <x:f>0</x:f>
        <x:v>0</x:v>
      </x:c>
      <x:c r="D44" s="495" t="n">
        <x:f>0</x:f>
        <x:v>0</x:v>
      </x:c>
      <x:c r="E44" s="496" t="n">
        <x:f>0</x:f>
        <x:v>0</x:v>
      </x:c>
      <x:c r="F44" s="377"/>
      <x:c r="G44" s="377"/>
      <x:c r="H44" s="377"/>
      <x:c r="I44" s="377"/>
      <x:c r="J44" s="377"/>
      <x:c r="K44" s="377"/>
    </x:row>
    <x:row r="45" ht="22" customHeight="1">
      <x:c r="A45" s="377"/>
      <x:c r="B45" s="494" t="n">
        <x:f>IFERROR((21)*STRUCTURE!$C$13/(STRUCTURE!$C$14-1),"")</x:f>
        <x:v>2.121212121212121</x:v>
      </x:c>
      <x:c r="C45" s="495" t="n">
        <x:f>0</x:f>
        <x:v>0</x:v>
      </x:c>
      <x:c r="D45" s="495" t="n">
        <x:f>0</x:f>
        <x:v>0</x:v>
      </x:c>
      <x:c r="E45" s="496" t="n">
        <x:f>0</x:f>
        <x:v>0</x:v>
      </x:c>
      <x:c r="F45" s="377"/>
      <x:c r="G45" s="377"/>
      <x:c r="H45" s="377"/>
      <x:c r="I45" s="377"/>
      <x:c r="J45" s="377"/>
      <x:c r="K45" s="377"/>
    </x:row>
    <x:row r="46" ht="22" customHeight="1">
      <x:c r="A46" s="377"/>
      <x:c r="B46" s="494" t="n">
        <x:f>IFERROR((22)*STRUCTURE!$C$13/(STRUCTURE!$C$14-1),"")</x:f>
        <x:v>2.2222222222222223</x:v>
      </x:c>
      <x:c r="C46" s="495" t="n">
        <x:f>0</x:f>
        <x:v>0</x:v>
      </x:c>
      <x:c r="D46" s="495" t="n">
        <x:f>0</x:f>
        <x:v>0</x:v>
      </x:c>
      <x:c r="E46" s="496" t="n">
        <x:f>0</x:f>
        <x:v>0</x:v>
      </x:c>
      <x:c r="F46" s="377"/>
      <x:c r="G46" s="377"/>
      <x:c r="H46" s="377"/>
      <x:c r="I46" s="377"/>
      <x:c r="J46" s="377"/>
      <x:c r="K46" s="377"/>
    </x:row>
    <x:row r="47" ht="22" customHeight="1">
      <x:c r="A47" s="377"/>
      <x:c r="B47" s="494" t="n">
        <x:f>IFERROR((23)*STRUCTURE!$C$13/(STRUCTURE!$C$14-1),"")</x:f>
        <x:v>2.323232323232323</x:v>
      </x:c>
      <x:c r="C47" s="495" t="n">
        <x:f>0</x:f>
        <x:v>0</x:v>
      </x:c>
      <x:c r="D47" s="495" t="n">
        <x:f>0</x:f>
        <x:v>0</x:v>
      </x:c>
      <x:c r="E47" s="496" t="n">
        <x:f>0</x:f>
        <x:v>0</x:v>
      </x:c>
      <x:c r="F47" s="377"/>
      <x:c r="G47" s="377"/>
      <x:c r="H47" s="377"/>
      <x:c r="I47" s="377"/>
      <x:c r="J47" s="377"/>
      <x:c r="K47" s="377"/>
    </x:row>
    <x:row r="48" ht="22" customHeight="1">
      <x:c r="A48" s="377"/>
      <x:c r="B48" s="494" t="n">
        <x:f>IFERROR((24)*STRUCTURE!$C$13/(STRUCTURE!$C$14-1),"")</x:f>
        <x:v>2.4242424242424243</x:v>
      </x:c>
      <x:c r="C48" s="495" t="n">
        <x:f>0</x:f>
        <x:v>0</x:v>
      </x:c>
      <x:c r="D48" s="495" t="n">
        <x:f>0</x:f>
        <x:v>0</x:v>
      </x:c>
      <x:c r="E48" s="496" t="n">
        <x:f>0</x:f>
        <x:v>0</x:v>
      </x:c>
      <x:c r="F48" s="377"/>
      <x:c r="G48" s="377"/>
      <x:c r="H48" s="377"/>
      <x:c r="I48" s="377"/>
      <x:c r="J48" s="377"/>
      <x:c r="K48" s="377"/>
    </x:row>
    <x:row r="49" ht="22" customHeight="1">
      <x:c r="A49" s="377"/>
      <x:c r="B49" s="494" t="n">
        <x:f>IFERROR((25)*STRUCTURE!$C$13/(STRUCTURE!$C$14-1),"")</x:f>
        <x:v>2.525252525252525</x:v>
      </x:c>
      <x:c r="C49" s="495" t="n">
        <x:f>0</x:f>
        <x:v>0</x:v>
      </x:c>
      <x:c r="D49" s="495" t="n">
        <x:f>0</x:f>
        <x:v>0</x:v>
      </x:c>
      <x:c r="E49" s="496" t="n">
        <x:f>0</x:f>
        <x:v>0</x:v>
      </x:c>
      <x:c r="F49" s="377"/>
      <x:c r="G49" s="377"/>
      <x:c r="H49" s="377"/>
      <x:c r="I49" s="377"/>
      <x:c r="J49" s="377"/>
      <x:c r="K49" s="377"/>
    </x:row>
    <x:row r="50" ht="22" customHeight="1">
      <x:c r="A50" s="377"/>
      <x:c r="B50" s="494" t="n">
        <x:f>IFERROR((26)*STRUCTURE!$C$13/(STRUCTURE!$C$14-1),"")</x:f>
        <x:v>2.6262626262626263</x:v>
      </x:c>
      <x:c r="C50" s="495" t="n">
        <x:f>0</x:f>
        <x:v>0</x:v>
      </x:c>
      <x:c r="D50" s="495" t="n">
        <x:f>0</x:f>
        <x:v>0</x:v>
      </x:c>
      <x:c r="E50" s="496" t="n">
        <x:f>0</x:f>
        <x:v>0</x:v>
      </x:c>
      <x:c r="F50" s="377"/>
      <x:c r="G50" s="377"/>
      <x:c r="H50" s="377"/>
      <x:c r="I50" s="377"/>
      <x:c r="J50" s="377"/>
      <x:c r="K50" s="377"/>
    </x:row>
    <x:row r="51" ht="22" customHeight="1">
      <x:c r="A51" s="377"/>
      <x:c r="B51" s="494" t="n">
        <x:f>IFERROR((27)*STRUCTURE!$C$13/(STRUCTURE!$C$14-1),"")</x:f>
        <x:v>2.727272727272727</x:v>
      </x:c>
      <x:c r="C51" s="495" t="n">
        <x:f>0</x:f>
        <x:v>0</x:v>
      </x:c>
      <x:c r="D51" s="495" t="n">
        <x:f>0</x:f>
        <x:v>0</x:v>
      </x:c>
      <x:c r="E51" s="496" t="n">
        <x:f>0</x:f>
        <x:v>0</x:v>
      </x:c>
      <x:c r="F51" s="377"/>
      <x:c r="G51" s="377"/>
      <x:c r="H51" s="377"/>
      <x:c r="I51" s="377"/>
      <x:c r="J51" s="377"/>
      <x:c r="K51" s="377"/>
    </x:row>
    <x:row r="52" ht="22" customHeight="1">
      <x:c r="A52" s="377"/>
      <x:c r="B52" s="494" t="n">
        <x:f>IFERROR((28)*STRUCTURE!$C$13/(STRUCTURE!$C$14-1),"")</x:f>
        <x:v>2.8282828282828283</x:v>
      </x:c>
      <x:c r="C52" s="495" t="n">
        <x:f>0</x:f>
        <x:v>0</x:v>
      </x:c>
      <x:c r="D52" s="495" t="n">
        <x:f>0</x:f>
        <x:v>0</x:v>
      </x:c>
      <x:c r="E52" s="496" t="n">
        <x:f>0</x:f>
        <x:v>0</x:v>
      </x:c>
      <x:c r="F52" s="377"/>
      <x:c r="G52" s="377"/>
      <x:c r="H52" s="377"/>
      <x:c r="I52" s="377"/>
      <x:c r="J52" s="377"/>
      <x:c r="K52" s="377"/>
    </x:row>
    <x:row r="53" ht="22" customHeight="1">
      <x:c r="A53" s="377"/>
      <x:c r="B53" s="494" t="n">
        <x:f>IFERROR((29)*STRUCTURE!$C$13/(STRUCTURE!$C$14-1),"")</x:f>
        <x:v>2.9292929292929295</x:v>
      </x:c>
      <x:c r="C53" s="495" t="n">
        <x:f>0</x:f>
        <x:v>0</x:v>
      </x:c>
      <x:c r="D53" s="495" t="n">
        <x:f>0</x:f>
        <x:v>0</x:v>
      </x:c>
      <x:c r="E53" s="496" t="n">
        <x:f>0</x:f>
        <x:v>0</x:v>
      </x:c>
      <x:c r="F53" s="377"/>
      <x:c r="G53" s="377"/>
      <x:c r="H53" s="377"/>
      <x:c r="I53" s="377"/>
      <x:c r="J53" s="377"/>
      <x:c r="K53" s="377"/>
    </x:row>
    <x:row r="54" ht="22" customHeight="1">
      <x:c r="A54" s="377"/>
      <x:c r="B54" s="494" t="n">
        <x:f>IFERROR((30)*STRUCTURE!$C$13/(STRUCTURE!$C$14-1),"")</x:f>
        <x:v>3.0303030303030303</x:v>
      </x:c>
      <x:c r="C54" s="495" t="n">
        <x:f>0</x:f>
        <x:v>0</x:v>
      </x:c>
      <x:c r="D54" s="495" t="n">
        <x:f>0</x:f>
        <x:v>0</x:v>
      </x:c>
      <x:c r="E54" s="496" t="n">
        <x:f>0</x:f>
        <x:v>0</x:v>
      </x:c>
      <x:c r="F54" s="377"/>
      <x:c r="G54" s="377"/>
      <x:c r="H54" s="377"/>
      <x:c r="I54" s="377"/>
      <x:c r="J54" s="377"/>
      <x:c r="K54" s="377"/>
    </x:row>
    <x:row r="55" ht="22" customHeight="1">
      <x:c r="A55" s="377"/>
      <x:c r="B55" s="494" t="n">
        <x:f>IFERROR((31)*STRUCTURE!$C$13/(STRUCTURE!$C$14-1),"")</x:f>
        <x:v>3.1313131313131315</x:v>
      </x:c>
      <x:c r="C55" s="495" t="n">
        <x:f>0</x:f>
        <x:v>0</x:v>
      </x:c>
      <x:c r="D55" s="495" t="n">
        <x:f>0</x:f>
        <x:v>0</x:v>
      </x:c>
      <x:c r="E55" s="496" t="n">
        <x:f>0</x:f>
        <x:v>0</x:v>
      </x:c>
      <x:c r="F55" s="377"/>
      <x:c r="G55" s="377"/>
      <x:c r="H55" s="377"/>
      <x:c r="I55" s="377"/>
      <x:c r="J55" s="377"/>
      <x:c r="K55" s="377"/>
    </x:row>
    <x:row r="56" ht="22" customHeight="1">
      <x:c r="A56" s="377"/>
      <x:c r="B56" s="494" t="n">
        <x:f>IFERROR((32)*STRUCTURE!$C$13/(STRUCTURE!$C$14-1),"")</x:f>
        <x:v>3.2323232323232323</x:v>
      </x:c>
      <x:c r="C56" s="495" t="n">
        <x:f>0</x:f>
        <x:v>0</x:v>
      </x:c>
      <x:c r="D56" s="495" t="n">
        <x:f>0</x:f>
        <x:v>0</x:v>
      </x:c>
      <x:c r="E56" s="496" t="n">
        <x:f>0</x:f>
        <x:v>0</x:v>
      </x:c>
      <x:c r="F56" s="377"/>
      <x:c r="G56" s="377"/>
      <x:c r="H56" s="377"/>
      <x:c r="I56" s="377"/>
      <x:c r="J56" s="377"/>
      <x:c r="K56" s="377"/>
    </x:row>
    <x:row r="57" ht="22" customHeight="1">
      <x:c r="A57" s="377"/>
      <x:c r="B57" s="494" t="n">
        <x:f>IFERROR((33)*STRUCTURE!$C$13/(STRUCTURE!$C$14-1),"")</x:f>
        <x:v>3.3333333333333335</x:v>
      </x:c>
      <x:c r="C57" s="495" t="n">
        <x:f>0</x:f>
        <x:v>0</x:v>
      </x:c>
      <x:c r="D57" s="495" t="n">
        <x:f>0</x:f>
        <x:v>0</x:v>
      </x:c>
      <x:c r="E57" s="496" t="n">
        <x:f>0</x:f>
        <x:v>0</x:v>
      </x:c>
      <x:c r="F57" s="377"/>
      <x:c r="G57" s="377"/>
      <x:c r="H57" s="377"/>
      <x:c r="I57" s="377"/>
      <x:c r="J57" s="377"/>
      <x:c r="K57" s="377"/>
    </x:row>
    <x:row r="58" ht="22" customHeight="1">
      <x:c r="A58" s="377"/>
      <x:c r="B58" s="494" t="n">
        <x:f>IFERROR((34)*STRUCTURE!$C$13/(STRUCTURE!$C$14-1),"")</x:f>
        <x:v>3.4343434343434343</x:v>
      </x:c>
      <x:c r="C58" s="495" t="n">
        <x:f>0</x:f>
        <x:v>0</x:v>
      </x:c>
      <x:c r="D58" s="495" t="n">
        <x:f>0</x:f>
        <x:v>0</x:v>
      </x:c>
      <x:c r="E58" s="496" t="n">
        <x:f>0</x:f>
        <x:v>0</x:v>
      </x:c>
      <x:c r="F58" s="377"/>
      <x:c r="G58" s="377"/>
      <x:c r="H58" s="377"/>
      <x:c r="I58" s="377"/>
      <x:c r="J58" s="377"/>
      <x:c r="K58" s="377"/>
    </x:row>
    <x:row r="59" ht="22" customHeight="1">
      <x:c r="A59" s="377"/>
      <x:c r="B59" s="494" t="n">
        <x:f>IFERROR((35)*STRUCTURE!$C$13/(STRUCTURE!$C$14-1),"")</x:f>
        <x:v>3.5353535353535355</x:v>
      </x:c>
      <x:c r="C59" s="495" t="n">
        <x:f>0</x:f>
        <x:v>0</x:v>
      </x:c>
      <x:c r="D59" s="495" t="n">
        <x:f>0</x:f>
        <x:v>0</x:v>
      </x:c>
      <x:c r="E59" s="496" t="n">
        <x:f>0</x:f>
        <x:v>0</x:v>
      </x:c>
      <x:c r="F59" s="377"/>
      <x:c r="G59" s="377"/>
      <x:c r="H59" s="377"/>
      <x:c r="I59" s="377"/>
      <x:c r="J59" s="377"/>
      <x:c r="K59" s="377"/>
    </x:row>
    <x:row r="60" ht="22" customHeight="1">
      <x:c r="A60" s="377"/>
      <x:c r="B60" s="494" t="n">
        <x:f>IFERROR((36)*STRUCTURE!$C$13/(STRUCTURE!$C$14-1),"")</x:f>
        <x:v>3.6363636363636362</x:v>
      </x:c>
      <x:c r="C60" s="495" t="n">
        <x:f>0</x:f>
        <x:v>0</x:v>
      </x:c>
      <x:c r="D60" s="495" t="n">
        <x:f>0</x:f>
        <x:v>0</x:v>
      </x:c>
      <x:c r="E60" s="496" t="n">
        <x:f>0</x:f>
        <x:v>0</x:v>
      </x:c>
      <x:c r="F60" s="377"/>
      <x:c r="G60" s="377"/>
      <x:c r="H60" s="377"/>
      <x:c r="I60" s="377"/>
      <x:c r="J60" s="377"/>
      <x:c r="K60" s="377"/>
    </x:row>
    <x:row r="61" ht="22" customHeight="1">
      <x:c r="A61" s="377"/>
      <x:c r="B61" s="494" t="n">
        <x:f>IFERROR((37)*STRUCTURE!$C$13/(STRUCTURE!$C$14-1),"")</x:f>
        <x:v>3.7373737373737375</x:v>
      </x:c>
      <x:c r="C61" s="495" t="n">
        <x:f>0</x:f>
        <x:v>0</x:v>
      </x:c>
      <x:c r="D61" s="495" t="n">
        <x:f>0</x:f>
        <x:v>0</x:v>
      </x:c>
      <x:c r="E61" s="496" t="n">
        <x:f>0</x:f>
        <x:v>0</x:v>
      </x:c>
      <x:c r="F61" s="377"/>
      <x:c r="G61" s="377"/>
      <x:c r="H61" s="377"/>
      <x:c r="I61" s="377"/>
      <x:c r="J61" s="377"/>
      <x:c r="K61" s="377"/>
    </x:row>
    <x:row r="62" ht="22" customHeight="1">
      <x:c r="A62" s="377"/>
      <x:c r="B62" s="494" t="n">
        <x:f>IFERROR((38)*STRUCTURE!$C$13/(STRUCTURE!$C$14-1),"")</x:f>
        <x:v>3.8383838383838382</x:v>
      </x:c>
      <x:c r="C62" s="495" t="n">
        <x:f>0</x:f>
        <x:v>0</x:v>
      </x:c>
      <x:c r="D62" s="495" t="n">
        <x:f>0</x:f>
        <x:v>0</x:v>
      </x:c>
      <x:c r="E62" s="496" t="n">
        <x:f>0</x:f>
        <x:v>0</x:v>
      </x:c>
      <x:c r="F62" s="377"/>
      <x:c r="G62" s="377"/>
      <x:c r="H62" s="377"/>
      <x:c r="I62" s="377"/>
      <x:c r="J62" s="377"/>
      <x:c r="K62" s="377"/>
    </x:row>
    <x:row r="63" ht="22" customHeight="1">
      <x:c r="A63" s="377"/>
      <x:c r="B63" s="494" t="n">
        <x:f>IFERROR((39)*STRUCTURE!$C$13/(STRUCTURE!$C$14-1),"")</x:f>
        <x:v>3.9393939393939394</x:v>
      </x:c>
      <x:c r="C63" s="495" t="n">
        <x:f>0</x:f>
        <x:v>0</x:v>
      </x:c>
      <x:c r="D63" s="495" t="n">
        <x:f>0</x:f>
        <x:v>0</x:v>
      </x:c>
      <x:c r="E63" s="496" t="n">
        <x:f>0</x:f>
        <x:v>0</x:v>
      </x:c>
      <x:c r="F63" s="377"/>
      <x:c r="G63" s="377"/>
      <x:c r="H63" s="377"/>
      <x:c r="I63" s="377"/>
      <x:c r="J63" s="377"/>
      <x:c r="K63" s="377"/>
    </x:row>
    <x:row r="64" ht="22" customHeight="1">
      <x:c r="A64" s="377"/>
      <x:c r="B64" s="494" t="n">
        <x:f>IFERROR((40)*STRUCTURE!$C$13/(STRUCTURE!$C$14-1),"")</x:f>
        <x:v>4.040404040404041</x:v>
      </x:c>
      <x:c r="C64" s="495" t="n">
        <x:f>0</x:f>
        <x:v>0</x:v>
      </x:c>
      <x:c r="D64" s="495" t="n">
        <x:f>0</x:f>
        <x:v>0</x:v>
      </x:c>
      <x:c r="E64" s="496" t="n">
        <x:f>0</x:f>
        <x:v>0</x:v>
      </x:c>
      <x:c r="F64" s="377"/>
      <x:c r="G64" s="377"/>
      <x:c r="H64" s="377"/>
      <x:c r="I64" s="377"/>
      <x:c r="J64" s="377"/>
      <x:c r="K64" s="377"/>
    </x:row>
    <x:row r="65" ht="22" customHeight="1">
      <x:c r="A65" s="377"/>
      <x:c r="B65" s="494" t="n">
        <x:f>IFERROR((41)*STRUCTURE!$C$13/(STRUCTURE!$C$14-1),"")</x:f>
        <x:v>4.141414141414141</x:v>
      </x:c>
      <x:c r="C65" s="495" t="n">
        <x:f>0</x:f>
        <x:v>0</x:v>
      </x:c>
      <x:c r="D65" s="495" t="n">
        <x:f>0</x:f>
        <x:v>0</x:v>
      </x:c>
      <x:c r="E65" s="496" t="n">
        <x:f>0</x:f>
        <x:v>0</x:v>
      </x:c>
      <x:c r="F65" s="377"/>
      <x:c r="G65" s="377"/>
      <x:c r="H65" s="377"/>
      <x:c r="I65" s="377"/>
      <x:c r="J65" s="377"/>
      <x:c r="K65" s="377"/>
    </x:row>
    <x:row r="66" ht="22" customHeight="1">
      <x:c r="A66" s="377"/>
      <x:c r="B66" s="494" t="n">
        <x:f>IFERROR((42)*STRUCTURE!$C$13/(STRUCTURE!$C$14-1),"")</x:f>
        <x:v>4.242424242424242</x:v>
      </x:c>
      <x:c r="C66" s="495" t="n">
        <x:f>0</x:f>
        <x:v>0</x:v>
      </x:c>
      <x:c r="D66" s="495" t="n">
        <x:f>0</x:f>
        <x:v>0</x:v>
      </x:c>
      <x:c r="E66" s="496" t="n">
        <x:f>0</x:f>
        <x:v>0</x:v>
      </x:c>
      <x:c r="F66" s="377"/>
      <x:c r="G66" s="377"/>
      <x:c r="H66" s="377"/>
      <x:c r="I66" s="377"/>
      <x:c r="J66" s="377"/>
      <x:c r="K66" s="377"/>
    </x:row>
    <x:row r="67" ht="22" customHeight="1">
      <x:c r="A67" s="377"/>
      <x:c r="B67" s="494" t="n">
        <x:f>IFERROR((43)*STRUCTURE!$C$13/(STRUCTURE!$C$14-1),"")</x:f>
        <x:v>4.343434343434343</x:v>
      </x:c>
      <x:c r="C67" s="495" t="n">
        <x:f>0</x:f>
        <x:v>0</x:v>
      </x:c>
      <x:c r="D67" s="495" t="n">
        <x:f>0</x:f>
        <x:v>0</x:v>
      </x:c>
      <x:c r="E67" s="496" t="n">
        <x:f>0</x:f>
        <x:v>0</x:v>
      </x:c>
      <x:c r="F67" s="377"/>
      <x:c r="G67" s="377"/>
      <x:c r="H67" s="377"/>
      <x:c r="I67" s="377"/>
      <x:c r="J67" s="377"/>
      <x:c r="K67" s="377"/>
    </x:row>
    <x:row r="68" ht="22" customHeight="1">
      <x:c r="A68" s="377"/>
      <x:c r="B68" s="494" t="n">
        <x:f>IFERROR((44)*STRUCTURE!$C$13/(STRUCTURE!$C$14-1),"")</x:f>
        <x:v>4.444444444444445</x:v>
      </x:c>
      <x:c r="C68" s="495" t="n">
        <x:f>0</x:f>
        <x:v>0</x:v>
      </x:c>
      <x:c r="D68" s="495" t="n">
        <x:f>0</x:f>
        <x:v>0</x:v>
      </x:c>
      <x:c r="E68" s="496" t="n">
        <x:f>0</x:f>
        <x:v>0</x:v>
      </x:c>
      <x:c r="F68" s="377"/>
      <x:c r="G68" s="377"/>
      <x:c r="H68" s="377"/>
      <x:c r="I68" s="377"/>
      <x:c r="J68" s="377"/>
      <x:c r="K68" s="377"/>
    </x:row>
    <x:row r="69" ht="22" customHeight="1">
      <x:c r="A69" s="377"/>
      <x:c r="B69" s="494" t="n">
        <x:f>IFERROR((45)*STRUCTURE!$C$13/(STRUCTURE!$C$14-1),"")</x:f>
        <x:v>4.545454545454546</x:v>
      </x:c>
      <x:c r="C69" s="495" t="n">
        <x:f>0</x:f>
        <x:v>0</x:v>
      </x:c>
      <x:c r="D69" s="495" t="n">
        <x:f>0</x:f>
        <x:v>0</x:v>
      </x:c>
      <x:c r="E69" s="496" t="n">
        <x:f>0</x:f>
        <x:v>0</x:v>
      </x:c>
      <x:c r="F69" s="377"/>
      <x:c r="G69" s="377"/>
      <x:c r="H69" s="377"/>
      <x:c r="I69" s="377"/>
      <x:c r="J69" s="377"/>
      <x:c r="K69" s="377"/>
    </x:row>
    <x:row r="70" ht="22" customHeight="1">
      <x:c r="A70" s="377"/>
      <x:c r="B70" s="494" t="n">
        <x:f>IFERROR((46)*STRUCTURE!$C$13/(STRUCTURE!$C$14-1),"")</x:f>
        <x:v>4.646464646464646</x:v>
      </x:c>
      <x:c r="C70" s="495" t="n">
        <x:f>0</x:f>
        <x:v>0</x:v>
      </x:c>
      <x:c r="D70" s="495" t="n">
        <x:f>0</x:f>
        <x:v>0</x:v>
      </x:c>
      <x:c r="E70" s="496" t="n">
        <x:f>0</x:f>
        <x:v>0</x:v>
      </x:c>
      <x:c r="F70" s="377"/>
      <x:c r="G70" s="377"/>
      <x:c r="H70" s="377"/>
      <x:c r="I70" s="377"/>
      <x:c r="J70" s="377"/>
      <x:c r="K70" s="377"/>
    </x:row>
    <x:row r="71" ht="22" customHeight="1">
      <x:c r="A71" s="377"/>
      <x:c r="B71" s="494" t="n">
        <x:f>IFERROR((47)*STRUCTURE!$C$13/(STRUCTURE!$C$14-1),"")</x:f>
        <x:v>4.747474747474747</x:v>
      </x:c>
      <x:c r="C71" s="495" t="n">
        <x:f>0</x:f>
        <x:v>0</x:v>
      </x:c>
      <x:c r="D71" s="495" t="n">
        <x:f>0</x:f>
        <x:v>0</x:v>
      </x:c>
      <x:c r="E71" s="496" t="n">
        <x:f>0</x:f>
        <x:v>0</x:v>
      </x:c>
      <x:c r="F71" s="377"/>
      <x:c r="G71" s="377"/>
      <x:c r="H71" s="377"/>
      <x:c r="I71" s="377"/>
      <x:c r="J71" s="377"/>
      <x:c r="K71" s="377"/>
    </x:row>
    <x:row r="72" ht="22" customHeight="1">
      <x:c r="A72" s="377"/>
      <x:c r="B72" s="494" t="n">
        <x:f>IFERROR((48)*STRUCTURE!$C$13/(STRUCTURE!$C$14-1),"")</x:f>
        <x:v>4.848484848484849</x:v>
      </x:c>
      <x:c r="C72" s="495" t="n">
        <x:f>0</x:f>
        <x:v>0</x:v>
      </x:c>
      <x:c r="D72" s="495" t="n">
        <x:f>0</x:f>
        <x:v>0</x:v>
      </x:c>
      <x:c r="E72" s="496" t="n">
        <x:f>0</x:f>
        <x:v>0</x:v>
      </x:c>
      <x:c r="F72" s="377"/>
      <x:c r="G72" s="377"/>
      <x:c r="H72" s="377"/>
      <x:c r="I72" s="377"/>
      <x:c r="J72" s="377"/>
      <x:c r="K72" s="377"/>
    </x:row>
    <x:row r="73" ht="22" customHeight="1">
      <x:c r="A73" s="377"/>
      <x:c r="B73" s="494" t="n">
        <x:f>IFERROR((49)*STRUCTURE!$C$13/(STRUCTURE!$C$14-1),"")</x:f>
        <x:v>4.94949494949495</x:v>
      </x:c>
      <x:c r="C73" s="495" t="n">
        <x:f>0</x:f>
        <x:v>0</x:v>
      </x:c>
      <x:c r="D73" s="495" t="n">
        <x:f>0</x:f>
        <x:v>0</x:v>
      </x:c>
      <x:c r="E73" s="496" t="n">
        <x:f>0</x:f>
        <x:v>0</x:v>
      </x:c>
      <x:c r="F73" s="377"/>
      <x:c r="G73" s="377"/>
      <x:c r="H73" s="377"/>
      <x:c r="I73" s="377"/>
      <x:c r="J73" s="377"/>
      <x:c r="K73" s="377"/>
    </x:row>
    <x:row r="74" ht="22" customHeight="1">
      <x:c r="A74" s="377"/>
      <x:c r="B74" s="494" t="n">
        <x:f>IFERROR((50)*STRUCTURE!$C$13/(STRUCTURE!$C$14-1),"")</x:f>
        <x:v>5.05050505050505</x:v>
      </x:c>
      <x:c r="C74" s="495" t="n">
        <x:f>0</x:f>
        <x:v>0</x:v>
      </x:c>
      <x:c r="D74" s="495" t="n">
        <x:f>0</x:f>
        <x:v>0</x:v>
      </x:c>
      <x:c r="E74" s="496" t="n">
        <x:f>0</x:f>
        <x:v>0</x:v>
      </x:c>
      <x:c r="F74" s="377"/>
      <x:c r="G74" s="377"/>
      <x:c r="H74" s="377"/>
      <x:c r="I74" s="377"/>
      <x:c r="J74" s="377"/>
      <x:c r="K74" s="377"/>
    </x:row>
    <x:row r="75" ht="22" customHeight="1">
      <x:c r="A75" s="377"/>
      <x:c r="B75" s="494" t="n">
        <x:f>IFERROR((51)*STRUCTURE!$C$13/(STRUCTURE!$C$14-1),"")</x:f>
        <x:v>5.151515151515151</x:v>
      </x:c>
      <x:c r="C75" s="495" t="n">
        <x:f>0</x:f>
        <x:v>0</x:v>
      </x:c>
      <x:c r="D75" s="495" t="n">
        <x:f>0</x:f>
        <x:v>0</x:v>
      </x:c>
      <x:c r="E75" s="496" t="n">
        <x:f>0</x:f>
        <x:v>0</x:v>
      </x:c>
      <x:c r="F75" s="377"/>
      <x:c r="G75" s="377"/>
      <x:c r="H75" s="377"/>
      <x:c r="I75" s="377"/>
      <x:c r="J75" s="377"/>
      <x:c r="K75" s="377"/>
    </x:row>
    <x:row r="76" ht="22" customHeight="1">
      <x:c r="A76" s="377"/>
      <x:c r="B76" s="494" t="n">
        <x:f>IFERROR((52)*STRUCTURE!$C$13/(STRUCTURE!$C$14-1),"")</x:f>
        <x:v>5.252525252525253</x:v>
      </x:c>
      <x:c r="C76" s="495" t="n">
        <x:f>0</x:f>
        <x:v>0</x:v>
      </x:c>
      <x:c r="D76" s="495" t="n">
        <x:f>0</x:f>
        <x:v>0</x:v>
      </x:c>
      <x:c r="E76" s="496" t="n">
        <x:f>0</x:f>
        <x:v>0</x:v>
      </x:c>
      <x:c r="F76" s="377"/>
      <x:c r="G76" s="377"/>
      <x:c r="H76" s="377"/>
      <x:c r="I76" s="377"/>
      <x:c r="J76" s="377"/>
      <x:c r="K76" s="377"/>
    </x:row>
    <x:row r="77" ht="22" customHeight="1">
      <x:c r="A77" s="377"/>
      <x:c r="B77" s="494" t="n">
        <x:f>IFERROR((53)*STRUCTURE!$C$13/(STRUCTURE!$C$14-1),"")</x:f>
        <x:v>5.353535353535354</x:v>
      </x:c>
      <x:c r="C77" s="495" t="n">
        <x:f>0</x:f>
        <x:v>0</x:v>
      </x:c>
      <x:c r="D77" s="495" t="n">
        <x:f>0</x:f>
        <x:v>0</x:v>
      </x:c>
      <x:c r="E77" s="496" t="n">
        <x:f>0</x:f>
        <x:v>0</x:v>
      </x:c>
      <x:c r="F77" s="377"/>
      <x:c r="G77" s="377"/>
      <x:c r="H77" s="377"/>
      <x:c r="I77" s="377"/>
      <x:c r="J77" s="377"/>
      <x:c r="K77" s="377"/>
    </x:row>
    <x:row r="78" ht="22" customHeight="1">
      <x:c r="A78" s="377"/>
      <x:c r="B78" s="494" t="n">
        <x:f>IFERROR((54)*STRUCTURE!$C$13/(STRUCTURE!$C$14-1),"")</x:f>
        <x:v>5.454545454545454</x:v>
      </x:c>
      <x:c r="C78" s="495" t="n">
        <x:f>0</x:f>
        <x:v>0</x:v>
      </x:c>
      <x:c r="D78" s="495" t="n">
        <x:f>0</x:f>
        <x:v>0</x:v>
      </x:c>
      <x:c r="E78" s="496" t="n">
        <x:f>0</x:f>
        <x:v>0</x:v>
      </x:c>
      <x:c r="F78" s="377"/>
      <x:c r="G78" s="377"/>
      <x:c r="H78" s="377"/>
      <x:c r="I78" s="377"/>
      <x:c r="J78" s="377"/>
      <x:c r="K78" s="377"/>
    </x:row>
    <x:row r="79" ht="22" customHeight="1">
      <x:c r="A79" s="377"/>
      <x:c r="B79" s="494" t="n">
        <x:f>IFERROR((55)*STRUCTURE!$C$13/(STRUCTURE!$C$14-1),"")</x:f>
        <x:v>5.555555555555555</x:v>
      </x:c>
      <x:c r="C79" s="495" t="n">
        <x:f>0</x:f>
        <x:v>0</x:v>
      </x:c>
      <x:c r="D79" s="495" t="n">
        <x:f>0</x:f>
        <x:v>0</x:v>
      </x:c>
      <x:c r="E79" s="496" t="n">
        <x:f>0</x:f>
        <x:v>0</x:v>
      </x:c>
      <x:c r="F79" s="377"/>
      <x:c r="G79" s="377"/>
      <x:c r="H79" s="377"/>
      <x:c r="I79" s="377"/>
      <x:c r="J79" s="377"/>
      <x:c r="K79" s="377"/>
    </x:row>
    <x:row r="80" ht="22" customHeight="1">
      <x:c r="A80" s="377"/>
      <x:c r="B80" s="494" t="n">
        <x:f>IFERROR((56)*STRUCTURE!$C$13/(STRUCTURE!$C$14-1),"")</x:f>
        <x:v>5.656565656565657</x:v>
      </x:c>
      <x:c r="C80" s="495" t="n">
        <x:f>0</x:f>
        <x:v>0</x:v>
      </x:c>
      <x:c r="D80" s="495" t="n">
        <x:f>0</x:f>
        <x:v>0</x:v>
      </x:c>
      <x:c r="E80" s="496" t="n">
        <x:f>0</x:f>
        <x:v>0</x:v>
      </x:c>
      <x:c r="F80" s="377"/>
      <x:c r="G80" s="377"/>
      <x:c r="H80" s="377"/>
      <x:c r="I80" s="377"/>
      <x:c r="J80" s="377"/>
      <x:c r="K80" s="377"/>
    </x:row>
    <x:row r="81" ht="22" customHeight="1">
      <x:c r="A81" s="377"/>
      <x:c r="B81" s="494" t="n">
        <x:f>IFERROR((57)*STRUCTURE!$C$13/(STRUCTURE!$C$14-1),"")</x:f>
        <x:v>5.757575757575758</x:v>
      </x:c>
      <x:c r="C81" s="495" t="n">
        <x:f>0</x:f>
        <x:v>0</x:v>
      </x:c>
      <x:c r="D81" s="495" t="n">
        <x:f>0</x:f>
        <x:v>0</x:v>
      </x:c>
      <x:c r="E81" s="496" t="n">
        <x:f>0</x:f>
        <x:v>0</x:v>
      </x:c>
      <x:c r="F81" s="377"/>
      <x:c r="G81" s="377"/>
      <x:c r="H81" s="377"/>
      <x:c r="I81" s="377"/>
      <x:c r="J81" s="377"/>
      <x:c r="K81" s="377"/>
    </x:row>
    <x:row r="82" ht="22" customHeight="1">
      <x:c r="A82" s="377"/>
      <x:c r="B82" s="494" t="n">
        <x:f>IFERROR((58)*STRUCTURE!$C$13/(STRUCTURE!$C$14-1),"")</x:f>
        <x:v>5.858585858585859</x:v>
      </x:c>
      <x:c r="C82" s="495" t="n">
        <x:f>0</x:f>
        <x:v>0</x:v>
      </x:c>
      <x:c r="D82" s="495" t="n">
        <x:f>0</x:f>
        <x:v>0</x:v>
      </x:c>
      <x:c r="E82" s="496" t="n">
        <x:f>0</x:f>
        <x:v>0</x:v>
      </x:c>
      <x:c r="F82" s="377"/>
      <x:c r="G82" s="377"/>
      <x:c r="H82" s="377"/>
      <x:c r="I82" s="377"/>
      <x:c r="J82" s="377"/>
      <x:c r="K82" s="377"/>
    </x:row>
    <x:row r="83" ht="22" customHeight="1">
      <x:c r="A83" s="377"/>
      <x:c r="B83" s="494" t="n">
        <x:f>IFERROR((59)*STRUCTURE!$C$13/(STRUCTURE!$C$14-1),"")</x:f>
        <x:v>5.959595959595959</x:v>
      </x:c>
      <x:c r="C83" s="495" t="n">
        <x:f>0</x:f>
        <x:v>0</x:v>
      </x:c>
      <x:c r="D83" s="495" t="n">
        <x:f>0</x:f>
        <x:v>0</x:v>
      </x:c>
      <x:c r="E83" s="496" t="n">
        <x:f>0</x:f>
        <x:v>0</x:v>
      </x:c>
      <x:c r="F83" s="377"/>
      <x:c r="G83" s="377"/>
      <x:c r="H83" s="377"/>
      <x:c r="I83" s="377"/>
      <x:c r="J83" s="377"/>
      <x:c r="K83" s="377"/>
    </x:row>
    <x:row r="84" ht="22" customHeight="1">
      <x:c r="A84" s="377"/>
      <x:c r="B84" s="494" t="n">
        <x:f>IFERROR((60)*STRUCTURE!$C$13/(STRUCTURE!$C$14-1),"")</x:f>
        <x:v>6.0606060606060606</x:v>
      </x:c>
      <x:c r="C84" s="495" t="n">
        <x:f>0</x:f>
        <x:v>0</x:v>
      </x:c>
      <x:c r="D84" s="495" t="n">
        <x:f>0</x:f>
        <x:v>0</x:v>
      </x:c>
      <x:c r="E84" s="496" t="n">
        <x:f>0</x:f>
        <x:v>0</x:v>
      </x:c>
      <x:c r="F84" s="377"/>
      <x:c r="G84" s="377"/>
      <x:c r="H84" s="377"/>
      <x:c r="I84" s="377"/>
      <x:c r="J84" s="377"/>
      <x:c r="K84" s="377"/>
    </x:row>
    <x:row r="85" ht="22" customHeight="1">
      <x:c r="A85" s="377"/>
      <x:c r="B85" s="494" t="n">
        <x:f>IFERROR((61)*STRUCTURE!$C$13/(STRUCTURE!$C$14-1),"")</x:f>
        <x:v>6.161616161616162</x:v>
      </x:c>
      <x:c r="C85" s="495" t="n">
        <x:f>0</x:f>
        <x:v>0</x:v>
      </x:c>
      <x:c r="D85" s="495" t="n">
        <x:f>0</x:f>
        <x:v>0</x:v>
      </x:c>
      <x:c r="E85" s="496" t="n">
        <x:f>0</x:f>
        <x:v>0</x:v>
      </x:c>
      <x:c r="F85" s="377"/>
      <x:c r="G85" s="377"/>
      <x:c r="H85" s="377"/>
      <x:c r="I85" s="377"/>
      <x:c r="J85" s="377"/>
      <x:c r="K85" s="377"/>
    </x:row>
    <x:row r="86" ht="22" customHeight="1">
      <x:c r="A86" s="377"/>
      <x:c r="B86" s="494" t="n">
        <x:f>IFERROR((62)*STRUCTURE!$C$13/(STRUCTURE!$C$14-1),"")</x:f>
        <x:v>6.262626262626263</x:v>
      </x:c>
      <x:c r="C86" s="495" t="n">
        <x:f>0</x:f>
        <x:v>0</x:v>
      </x:c>
      <x:c r="D86" s="495" t="n">
        <x:f>0</x:f>
        <x:v>0</x:v>
      </x:c>
      <x:c r="E86" s="496" t="n">
        <x:f>0</x:f>
        <x:v>0</x:v>
      </x:c>
      <x:c r="F86" s="377"/>
      <x:c r="G86" s="377"/>
      <x:c r="H86" s="377"/>
      <x:c r="I86" s="377"/>
      <x:c r="J86" s="377"/>
      <x:c r="K86" s="377"/>
    </x:row>
    <x:row r="87" ht="22" customHeight="1">
      <x:c r="A87" s="377"/>
      <x:c r="B87" s="494" t="n">
        <x:f>IFERROR((63)*STRUCTURE!$C$13/(STRUCTURE!$C$14-1),"")</x:f>
        <x:v>6.363636363636363</x:v>
      </x:c>
      <x:c r="C87" s="495" t="n">
        <x:f>0</x:f>
        <x:v>0</x:v>
      </x:c>
      <x:c r="D87" s="495" t="n">
        <x:f>0</x:f>
        <x:v>0</x:v>
      </x:c>
      <x:c r="E87" s="496" t="n">
        <x:f>0</x:f>
        <x:v>0</x:v>
      </x:c>
      <x:c r="F87" s="377"/>
      <x:c r="G87" s="377"/>
      <x:c r="H87" s="377"/>
      <x:c r="I87" s="377"/>
      <x:c r="J87" s="377"/>
      <x:c r="K87" s="377"/>
    </x:row>
    <x:row r="88" ht="22" customHeight="1">
      <x:c r="A88" s="377"/>
      <x:c r="B88" s="494" t="n">
        <x:f>IFERROR((64)*STRUCTURE!$C$13/(STRUCTURE!$C$14-1),"")</x:f>
        <x:v>6.4646464646464645</x:v>
      </x:c>
      <x:c r="C88" s="495" t="n">
        <x:f>0</x:f>
        <x:v>0</x:v>
      </x:c>
      <x:c r="D88" s="495" t="n">
        <x:f>0</x:f>
        <x:v>0</x:v>
      </x:c>
      <x:c r="E88" s="496" t="n">
        <x:f>0</x:f>
        <x:v>0</x:v>
      </x:c>
      <x:c r="F88" s="377"/>
      <x:c r="G88" s="377"/>
      <x:c r="H88" s="377"/>
      <x:c r="I88" s="377"/>
      <x:c r="J88" s="377"/>
      <x:c r="K88" s="377"/>
    </x:row>
    <x:row r="89" ht="22" customHeight="1">
      <x:c r="A89" s="377"/>
      <x:c r="B89" s="494" t="n">
        <x:f>IFERROR((65)*STRUCTURE!$C$13/(STRUCTURE!$C$14-1),"")</x:f>
        <x:v>6.565656565656566</x:v>
      </x:c>
      <x:c r="C89" s="495" t="n">
        <x:f>0</x:f>
        <x:v>0</x:v>
      </x:c>
      <x:c r="D89" s="495" t="n">
        <x:f>0</x:f>
        <x:v>0</x:v>
      </x:c>
      <x:c r="E89" s="496" t="n">
        <x:f>0</x:f>
        <x:v>0</x:v>
      </x:c>
      <x:c r="F89" s="377"/>
      <x:c r="G89" s="377"/>
      <x:c r="H89" s="377"/>
      <x:c r="I89" s="377"/>
      <x:c r="J89" s="377"/>
      <x:c r="K89" s="377"/>
    </x:row>
    <x:row r="90" ht="22" customHeight="1">
      <x:c r="A90" s="377"/>
      <x:c r="B90" s="494" t="n">
        <x:f>IFERROR((66)*STRUCTURE!$C$13/(STRUCTURE!$C$14-1),"")</x:f>
        <x:v>6.666666666666667</x:v>
      </x:c>
      <x:c r="C90" s="495" t="n">
        <x:f>0</x:f>
        <x:v>0</x:v>
      </x:c>
      <x:c r="D90" s="495" t="n">
        <x:f>0</x:f>
        <x:v>0</x:v>
      </x:c>
      <x:c r="E90" s="496" t="n">
        <x:f>0</x:f>
        <x:v>0</x:v>
      </x:c>
      <x:c r="F90" s="377"/>
      <x:c r="G90" s="377"/>
      <x:c r="H90" s="377"/>
      <x:c r="I90" s="377"/>
      <x:c r="J90" s="377"/>
      <x:c r="K90" s="377"/>
    </x:row>
    <x:row r="91" ht="22" customHeight="1">
      <x:c r="A91" s="377"/>
      <x:c r="B91" s="494" t="n">
        <x:f>IFERROR((67)*STRUCTURE!$C$13/(STRUCTURE!$C$14-1),"")</x:f>
        <x:v>6.767676767676767</x:v>
      </x:c>
      <x:c r="C91" s="495" t="n">
        <x:f>0</x:f>
        <x:v>0</x:v>
      </x:c>
      <x:c r="D91" s="495" t="n">
        <x:f>0</x:f>
        <x:v>0</x:v>
      </x:c>
      <x:c r="E91" s="496" t="n">
        <x:f>0</x:f>
        <x:v>0</x:v>
      </x:c>
      <x:c r="F91" s="377"/>
      <x:c r="G91" s="377"/>
      <x:c r="H91" s="377"/>
      <x:c r="I91" s="377"/>
      <x:c r="J91" s="377"/>
      <x:c r="K91" s="377"/>
    </x:row>
    <x:row r="92" ht="22" customHeight="1">
      <x:c r="A92" s="377"/>
      <x:c r="B92" s="494" t="n">
        <x:f>IFERROR((68)*STRUCTURE!$C$13/(STRUCTURE!$C$14-1),"")</x:f>
        <x:v>6.8686868686868685</x:v>
      </x:c>
      <x:c r="C92" s="495" t="n">
        <x:f>0</x:f>
        <x:v>0</x:v>
      </x:c>
      <x:c r="D92" s="495" t="n">
        <x:f>0</x:f>
        <x:v>0</x:v>
      </x:c>
      <x:c r="E92" s="496" t="n">
        <x:f>0</x:f>
        <x:v>0</x:v>
      </x:c>
      <x:c r="F92" s="377"/>
      <x:c r="G92" s="377"/>
      <x:c r="H92" s="377"/>
      <x:c r="I92" s="377"/>
      <x:c r="J92" s="377"/>
      <x:c r="K92" s="377"/>
    </x:row>
    <x:row r="93" ht="22" customHeight="1">
      <x:c r="A93" s="377"/>
      <x:c r="B93" s="494" t="n">
        <x:f>IFERROR((69)*STRUCTURE!$C$13/(STRUCTURE!$C$14-1),"")</x:f>
        <x:v>6.96969696969697</x:v>
      </x:c>
      <x:c r="C93" s="495" t="n">
        <x:f>0</x:f>
        <x:v>0</x:v>
      </x:c>
      <x:c r="D93" s="495" t="n">
        <x:f>0</x:f>
        <x:v>0</x:v>
      </x:c>
      <x:c r="E93" s="496" t="n">
        <x:f>0</x:f>
        <x:v>0</x:v>
      </x:c>
      <x:c r="F93" s="377"/>
      <x:c r="G93" s="377"/>
      <x:c r="H93" s="377"/>
      <x:c r="I93" s="377"/>
      <x:c r="J93" s="377"/>
      <x:c r="K93" s="377"/>
    </x:row>
    <x:row r="94" ht="22" customHeight="1">
      <x:c r="A94" s="377"/>
      <x:c r="B94" s="494" t="n">
        <x:f>IFERROR((70)*STRUCTURE!$C$13/(STRUCTURE!$C$14-1),"")</x:f>
        <x:v>7.070707070707071</x:v>
      </x:c>
      <x:c r="C94" s="495" t="n">
        <x:f>0</x:f>
        <x:v>0</x:v>
      </x:c>
      <x:c r="D94" s="495" t="n">
        <x:f>0</x:f>
        <x:v>0</x:v>
      </x:c>
      <x:c r="E94" s="496" t="n">
        <x:f>0</x:f>
        <x:v>0</x:v>
      </x:c>
      <x:c r="F94" s="377"/>
      <x:c r="G94" s="377"/>
      <x:c r="H94" s="377"/>
      <x:c r="I94" s="377"/>
      <x:c r="J94" s="377"/>
      <x:c r="K94" s="377"/>
    </x:row>
    <x:row r="95" ht="22" customHeight="1">
      <x:c r="A95" s="377"/>
      <x:c r="B95" s="494" t="n">
        <x:f>IFERROR((71)*STRUCTURE!$C$13/(STRUCTURE!$C$14-1),"")</x:f>
        <x:v>7.171717171717172</x:v>
      </x:c>
      <x:c r="C95" s="495" t="n">
        <x:f>0</x:f>
        <x:v>0</x:v>
      </x:c>
      <x:c r="D95" s="495" t="n">
        <x:f>0</x:f>
        <x:v>0</x:v>
      </x:c>
      <x:c r="E95" s="496" t="n">
        <x:f>0</x:f>
        <x:v>0</x:v>
      </x:c>
      <x:c r="F95" s="377"/>
      <x:c r="G95" s="377"/>
      <x:c r="H95" s="377"/>
      <x:c r="I95" s="377"/>
      <x:c r="J95" s="377"/>
      <x:c r="K95" s="377"/>
    </x:row>
    <x:row r="96" ht="22" customHeight="1">
      <x:c r="A96" s="377"/>
      <x:c r="B96" s="494" t="n">
        <x:f>IFERROR((72)*STRUCTURE!$C$13/(STRUCTURE!$C$14-1),"")</x:f>
        <x:v>7.2727272727272725</x:v>
      </x:c>
      <x:c r="C96" s="495" t="n">
        <x:f>0</x:f>
        <x:v>0</x:v>
      </x:c>
      <x:c r="D96" s="495" t="n">
        <x:f>0</x:f>
        <x:v>0</x:v>
      </x:c>
      <x:c r="E96" s="496" t="n">
        <x:f>0</x:f>
        <x:v>0</x:v>
      </x:c>
      <x:c r="F96" s="377"/>
      <x:c r="G96" s="377"/>
      <x:c r="H96" s="377"/>
      <x:c r="I96" s="377"/>
      <x:c r="J96" s="377"/>
      <x:c r="K96" s="377"/>
    </x:row>
    <x:row r="97" ht="22" customHeight="1">
      <x:c r="A97" s="377"/>
      <x:c r="B97" s="494" t="n">
        <x:f>IFERROR((73)*STRUCTURE!$C$13/(STRUCTURE!$C$14-1),"")</x:f>
        <x:v>7.373737373737374</x:v>
      </x:c>
      <x:c r="C97" s="495" t="n">
        <x:f>0</x:f>
        <x:v>0</x:v>
      </x:c>
      <x:c r="D97" s="495" t="n">
        <x:f>0</x:f>
        <x:v>0</x:v>
      </x:c>
      <x:c r="E97" s="496" t="n">
        <x:f>0</x:f>
        <x:v>0</x:v>
      </x:c>
      <x:c r="F97" s="377"/>
      <x:c r="G97" s="377"/>
      <x:c r="H97" s="377"/>
      <x:c r="I97" s="377"/>
      <x:c r="J97" s="377"/>
      <x:c r="K97" s="377"/>
    </x:row>
    <x:row r="98" ht="22" customHeight="1">
      <x:c r="A98" s="377"/>
      <x:c r="B98" s="494" t="n">
        <x:f>IFERROR((74)*STRUCTURE!$C$13/(STRUCTURE!$C$14-1),"")</x:f>
        <x:v>7.474747474747475</x:v>
      </x:c>
      <x:c r="C98" s="495" t="n">
        <x:f>0</x:f>
        <x:v>0</x:v>
      </x:c>
      <x:c r="D98" s="495" t="n">
        <x:f>0</x:f>
        <x:v>0</x:v>
      </x:c>
      <x:c r="E98" s="496" t="n">
        <x:f>0</x:f>
        <x:v>0</x:v>
      </x:c>
      <x:c r="F98" s="377"/>
      <x:c r="G98" s="377"/>
      <x:c r="H98" s="377"/>
      <x:c r="I98" s="377"/>
      <x:c r="J98" s="377"/>
      <x:c r="K98" s="377"/>
    </x:row>
    <x:row r="99" ht="22" customHeight="1">
      <x:c r="A99" s="377"/>
      <x:c r="B99" s="494" t="n">
        <x:f>IFERROR((75)*STRUCTURE!$C$13/(STRUCTURE!$C$14-1),"")</x:f>
        <x:v>7.575757575757576</x:v>
      </x:c>
      <x:c r="C99" s="495" t="n">
        <x:f>0</x:f>
        <x:v>0</x:v>
      </x:c>
      <x:c r="D99" s="495" t="n">
        <x:f>0</x:f>
        <x:v>0</x:v>
      </x:c>
      <x:c r="E99" s="496" t="n">
        <x:f>0</x:f>
        <x:v>0</x:v>
      </x:c>
      <x:c r="F99" s="377"/>
      <x:c r="G99" s="377"/>
      <x:c r="H99" s="377"/>
      <x:c r="I99" s="377"/>
      <x:c r="J99" s="377"/>
      <x:c r="K99" s="377"/>
    </x:row>
    <x:row r="100" ht="22" customHeight="1">
      <x:c r="A100" s="377"/>
      <x:c r="B100" s="494" t="n">
        <x:f>IFERROR((76)*STRUCTURE!$C$13/(STRUCTURE!$C$14-1),"")</x:f>
        <x:v>7.6767676767676765</x:v>
      </x:c>
      <x:c r="C100" s="495" t="n">
        <x:f>0</x:f>
        <x:v>0</x:v>
      </x:c>
      <x:c r="D100" s="495" t="n">
        <x:f>0</x:f>
        <x:v>0</x:v>
      </x:c>
      <x:c r="E100" s="496" t="n">
        <x:f>0</x:f>
        <x:v>0</x:v>
      </x:c>
      <x:c r="F100" s="377"/>
      <x:c r="G100" s="377"/>
      <x:c r="H100" s="377"/>
      <x:c r="I100" s="377"/>
      <x:c r="J100" s="377"/>
      <x:c r="K100" s="377"/>
    </x:row>
    <x:row r="101" ht="22" customHeight="1">
      <x:c r="A101" s="377"/>
      <x:c r="B101" s="494" t="n">
        <x:f>IFERROR((77)*STRUCTURE!$C$13/(STRUCTURE!$C$14-1),"")</x:f>
        <x:v>7.777777777777778</x:v>
      </x:c>
      <x:c r="C101" s="495" t="n">
        <x:f>0</x:f>
        <x:v>0</x:v>
      </x:c>
      <x:c r="D101" s="495" t="n">
        <x:f>0</x:f>
        <x:v>0</x:v>
      </x:c>
      <x:c r="E101" s="496" t="n">
        <x:f>0</x:f>
        <x:v>0</x:v>
      </x:c>
      <x:c r="F101" s="377"/>
      <x:c r="G101" s="377"/>
      <x:c r="H101" s="377"/>
      <x:c r="I101" s="377"/>
      <x:c r="J101" s="377"/>
      <x:c r="K101" s="377"/>
    </x:row>
    <x:row r="102" ht="22" customHeight="1">
      <x:c r="A102" s="377"/>
      <x:c r="B102" s="494" t="n">
        <x:f>IFERROR((78)*STRUCTURE!$C$13/(STRUCTURE!$C$14-1),"")</x:f>
        <x:v>7.878787878787879</x:v>
      </x:c>
      <x:c r="C102" s="495" t="n">
        <x:f>0</x:f>
        <x:v>0</x:v>
      </x:c>
      <x:c r="D102" s="495" t="n">
        <x:f>0</x:f>
        <x:v>0</x:v>
      </x:c>
      <x:c r="E102" s="496" t="n">
        <x:f>0</x:f>
        <x:v>0</x:v>
      </x:c>
      <x:c r="F102" s="377"/>
      <x:c r="G102" s="377"/>
      <x:c r="H102" s="377"/>
      <x:c r="I102" s="377"/>
      <x:c r="J102" s="377"/>
      <x:c r="K102" s="377"/>
    </x:row>
    <x:row r="103" ht="22" customHeight="1">
      <x:c r="A103" s="377"/>
      <x:c r="B103" s="494" t="n">
        <x:f>IFERROR((79)*STRUCTURE!$C$13/(STRUCTURE!$C$14-1),"")</x:f>
        <x:v>7.97979797979798</x:v>
      </x:c>
      <x:c r="C103" s="495" t="n">
        <x:f>0</x:f>
        <x:v>0</x:v>
      </x:c>
      <x:c r="D103" s="495" t="n">
        <x:f>0</x:f>
        <x:v>0</x:v>
      </x:c>
      <x:c r="E103" s="496" t="n">
        <x:f>0</x:f>
        <x:v>0</x:v>
      </x:c>
      <x:c r="F103" s="377"/>
      <x:c r="G103" s="377"/>
      <x:c r="H103" s="377"/>
      <x:c r="I103" s="377"/>
      <x:c r="J103" s="377"/>
      <x:c r="K103" s="377"/>
    </x:row>
    <x:row r="104" ht="22" customHeight="1">
      <x:c r="A104" s="377"/>
      <x:c r="B104" s="494" t="n">
        <x:f>IFERROR((80)*STRUCTURE!$C$13/(STRUCTURE!$C$14-1),"")</x:f>
        <x:v>8.080808080808081</x:v>
      </x:c>
      <x:c r="C104" s="495" t="n">
        <x:f>0</x:f>
        <x:v>0</x:v>
      </x:c>
      <x:c r="D104" s="495" t="n">
        <x:f>0</x:f>
        <x:v>0</x:v>
      </x:c>
      <x:c r="E104" s="496" t="n">
        <x:f>0</x:f>
        <x:v>0</x:v>
      </x:c>
      <x:c r="F104" s="377"/>
      <x:c r="G104" s="377"/>
      <x:c r="H104" s="377"/>
      <x:c r="I104" s="377"/>
      <x:c r="J104" s="377"/>
      <x:c r="K104" s="377"/>
    </x:row>
    <x:row r="105" ht="22" customHeight="1">
      <x:c r="A105" s="377"/>
      <x:c r="B105" s="494" t="n">
        <x:f>IFERROR((81)*STRUCTURE!$C$13/(STRUCTURE!$C$14-1),"")</x:f>
        <x:v>8.181818181818182</x:v>
      </x:c>
      <x:c r="C105" s="495" t="n">
        <x:f>0</x:f>
        <x:v>0</x:v>
      </x:c>
      <x:c r="D105" s="495" t="n">
        <x:f>0</x:f>
        <x:v>0</x:v>
      </x:c>
      <x:c r="E105" s="496" t="n">
        <x:f>0</x:f>
        <x:v>0</x:v>
      </x:c>
      <x:c r="F105" s="377"/>
      <x:c r="G105" s="377"/>
      <x:c r="H105" s="377"/>
      <x:c r="I105" s="377"/>
      <x:c r="J105" s="377"/>
      <x:c r="K105" s="377"/>
    </x:row>
    <x:row r="106" ht="22" customHeight="1">
      <x:c r="A106" s="377"/>
      <x:c r="B106" s="494" t="n">
        <x:f>IFERROR((82)*STRUCTURE!$C$13/(STRUCTURE!$C$14-1),"")</x:f>
        <x:v>8.282828282828282</x:v>
      </x:c>
      <x:c r="C106" s="495" t="n">
        <x:f>0</x:f>
        <x:v>0</x:v>
      </x:c>
      <x:c r="D106" s="495" t="n">
        <x:f>0</x:f>
        <x:v>0</x:v>
      </x:c>
      <x:c r="E106" s="496" t="n">
        <x:f>0</x:f>
        <x:v>0</x:v>
      </x:c>
      <x:c r="F106" s="377"/>
      <x:c r="G106" s="377"/>
      <x:c r="H106" s="377"/>
      <x:c r="I106" s="377"/>
      <x:c r="J106" s="377"/>
      <x:c r="K106" s="377"/>
    </x:row>
    <x:row r="107" ht="22" customHeight="1">
      <x:c r="A107" s="377"/>
      <x:c r="B107" s="494" t="n">
        <x:f>IFERROR((83)*STRUCTURE!$C$13/(STRUCTURE!$C$14-1),"")</x:f>
        <x:v>8.383838383838384</x:v>
      </x:c>
      <x:c r="C107" s="495" t="n">
        <x:f>0</x:f>
        <x:v>0</x:v>
      </x:c>
      <x:c r="D107" s="495" t="n">
        <x:f>0</x:f>
        <x:v>0</x:v>
      </x:c>
      <x:c r="E107" s="496" t="n">
        <x:f>0</x:f>
        <x:v>0</x:v>
      </x:c>
      <x:c r="F107" s="377"/>
      <x:c r="G107" s="377"/>
      <x:c r="H107" s="377"/>
      <x:c r="I107" s="377"/>
      <x:c r="J107" s="377"/>
      <x:c r="K107" s="377"/>
    </x:row>
    <x:row r="108" ht="22" customHeight="1">
      <x:c r="A108" s="377"/>
      <x:c r="B108" s="494" t="n">
        <x:f>IFERROR((84)*STRUCTURE!$C$13/(STRUCTURE!$C$14-1),"")</x:f>
        <x:v>8.484848484848484</x:v>
      </x:c>
      <x:c r="C108" s="495" t="n">
        <x:f>0</x:f>
        <x:v>0</x:v>
      </x:c>
      <x:c r="D108" s="495" t="n">
        <x:f>0</x:f>
        <x:v>0</x:v>
      </x:c>
      <x:c r="E108" s="496" t="n">
        <x:f>0</x:f>
        <x:v>0</x:v>
      </x:c>
      <x:c r="F108" s="377"/>
      <x:c r="G108" s="377"/>
      <x:c r="H108" s="377"/>
      <x:c r="I108" s="377"/>
      <x:c r="J108" s="377"/>
      <x:c r="K108" s="377"/>
    </x:row>
    <x:row r="109" ht="22" customHeight="1">
      <x:c r="A109" s="377"/>
      <x:c r="B109" s="494" t="n">
        <x:f>IFERROR((85)*STRUCTURE!$C$13/(STRUCTURE!$C$14-1),"")</x:f>
        <x:v>8.585858585858587</x:v>
      </x:c>
      <x:c r="C109" s="495" t="n">
        <x:f>0</x:f>
        <x:v>0</x:v>
      </x:c>
      <x:c r="D109" s="495" t="n">
        <x:f>0</x:f>
        <x:v>0</x:v>
      </x:c>
      <x:c r="E109" s="496" t="n">
        <x:f>0</x:f>
        <x:v>0</x:v>
      </x:c>
      <x:c r="F109" s="377"/>
      <x:c r="G109" s="377"/>
      <x:c r="H109" s="377"/>
      <x:c r="I109" s="377"/>
      <x:c r="J109" s="377"/>
      <x:c r="K109" s="377"/>
    </x:row>
    <x:row r="110" ht="22" customHeight="1">
      <x:c r="A110" s="377"/>
      <x:c r="B110" s="494" t="n">
        <x:f>IFERROR((86)*STRUCTURE!$C$13/(STRUCTURE!$C$14-1),"")</x:f>
        <x:v>8.686868686868687</x:v>
      </x:c>
      <x:c r="C110" s="495" t="n">
        <x:f>0</x:f>
        <x:v>0</x:v>
      </x:c>
      <x:c r="D110" s="495" t="n">
        <x:f>0</x:f>
        <x:v>0</x:v>
      </x:c>
      <x:c r="E110" s="496" t="n">
        <x:f>0</x:f>
        <x:v>0</x:v>
      </x:c>
      <x:c r="F110" s="377"/>
      <x:c r="G110" s="377"/>
      <x:c r="H110" s="377"/>
      <x:c r="I110" s="377"/>
      <x:c r="J110" s="377"/>
      <x:c r="K110" s="377"/>
    </x:row>
    <x:row r="111" ht="22" customHeight="1">
      <x:c r="A111" s="377"/>
      <x:c r="B111" s="494" t="n">
        <x:f>IFERROR((87)*STRUCTURE!$C$13/(STRUCTURE!$C$14-1),"")</x:f>
        <x:v>8.787878787878787</x:v>
      </x:c>
      <x:c r="C111" s="495" t="n">
        <x:f>0</x:f>
        <x:v>0</x:v>
      </x:c>
      <x:c r="D111" s="495" t="n">
        <x:f>0</x:f>
        <x:v>0</x:v>
      </x:c>
      <x:c r="E111" s="496" t="n">
        <x:f>0</x:f>
        <x:v>0</x:v>
      </x:c>
      <x:c r="F111" s="377"/>
      <x:c r="G111" s="377"/>
      <x:c r="H111" s="377"/>
      <x:c r="I111" s="377"/>
      <x:c r="J111" s="377"/>
      <x:c r="K111" s="377"/>
    </x:row>
    <x:row r="112" ht="22" customHeight="1">
      <x:c r="A112" s="377"/>
      <x:c r="B112" s="494" t="n">
        <x:f>IFERROR((88)*STRUCTURE!$C$13/(STRUCTURE!$C$14-1),"")</x:f>
        <x:v>8.88888888888889</x:v>
      </x:c>
      <x:c r="C112" s="495" t="n">
        <x:f>0</x:f>
        <x:v>0</x:v>
      </x:c>
      <x:c r="D112" s="495" t="n">
        <x:f>0</x:f>
        <x:v>0</x:v>
      </x:c>
      <x:c r="E112" s="496" t="n">
        <x:f>0</x:f>
        <x:v>0</x:v>
      </x:c>
      <x:c r="F112" s="377"/>
      <x:c r="G112" s="377"/>
      <x:c r="H112" s="377"/>
      <x:c r="I112" s="377"/>
      <x:c r="J112" s="377"/>
      <x:c r="K112" s="377"/>
    </x:row>
    <x:row r="113" ht="22" customHeight="1">
      <x:c r="A113" s="377"/>
      <x:c r="B113" s="494" t="n">
        <x:f>IFERROR((89)*STRUCTURE!$C$13/(STRUCTURE!$C$14-1),"")</x:f>
        <x:v>8.98989898989899</x:v>
      </x:c>
      <x:c r="C113" s="495" t="n">
        <x:f>0</x:f>
        <x:v>0</x:v>
      </x:c>
      <x:c r="D113" s="495" t="n">
        <x:f>0</x:f>
        <x:v>0</x:v>
      </x:c>
      <x:c r="E113" s="496" t="n">
        <x:f>0</x:f>
        <x:v>0</x:v>
      </x:c>
      <x:c r="F113" s="377"/>
      <x:c r="G113" s="377"/>
      <x:c r="H113" s="377"/>
      <x:c r="I113" s="377"/>
      <x:c r="J113" s="377"/>
      <x:c r="K113" s="377"/>
    </x:row>
    <x:row r="114" ht="22" customHeight="1">
      <x:c r="A114" s="377"/>
      <x:c r="B114" s="494" t="n">
        <x:f>IFERROR((90)*STRUCTURE!$C$13/(STRUCTURE!$C$14-1),"")</x:f>
        <x:v>9.090909090909092</x:v>
      </x:c>
      <x:c r="C114" s="495" t="n">
        <x:f>0</x:f>
        <x:v>0</x:v>
      </x:c>
      <x:c r="D114" s="495" t="n">
        <x:f>0</x:f>
        <x:v>0</x:v>
      </x:c>
      <x:c r="E114" s="496" t="n">
        <x:f>0</x:f>
        <x:v>0</x:v>
      </x:c>
      <x:c r="F114" s="377"/>
      <x:c r="G114" s="377"/>
      <x:c r="H114" s="377"/>
      <x:c r="I114" s="377"/>
      <x:c r="J114" s="377"/>
      <x:c r="K114" s="377"/>
    </x:row>
    <x:row r="115" ht="22" customHeight="1">
      <x:c r="A115" s="377"/>
      <x:c r="B115" s="494" t="n">
        <x:f>IFERROR((91)*STRUCTURE!$C$13/(STRUCTURE!$C$14-1),"")</x:f>
        <x:v>9.191919191919192</x:v>
      </x:c>
      <x:c r="C115" s="495" t="n">
        <x:f>0</x:f>
        <x:v>0</x:v>
      </x:c>
      <x:c r="D115" s="495" t="n">
        <x:f>0</x:f>
        <x:v>0</x:v>
      </x:c>
      <x:c r="E115" s="496" t="n">
        <x:f>0</x:f>
        <x:v>0</x:v>
      </x:c>
      <x:c r="F115" s="377"/>
      <x:c r="G115" s="377"/>
      <x:c r="H115" s="377"/>
      <x:c r="I115" s="377"/>
      <x:c r="J115" s="377"/>
      <x:c r="K115" s="377"/>
    </x:row>
    <x:row r="116" ht="22" customHeight="1">
      <x:c r="A116" s="377"/>
      <x:c r="B116" s="494" t="n">
        <x:f>IFERROR((92)*STRUCTURE!$C$13/(STRUCTURE!$C$14-1),"")</x:f>
        <x:v>9.292929292929292</x:v>
      </x:c>
      <x:c r="C116" s="495" t="n">
        <x:f>0</x:f>
        <x:v>0</x:v>
      </x:c>
      <x:c r="D116" s="495" t="n">
        <x:f>0</x:f>
        <x:v>0</x:v>
      </x:c>
      <x:c r="E116" s="496" t="n">
        <x:f>0</x:f>
        <x:v>0</x:v>
      </x:c>
      <x:c r="F116" s="377"/>
      <x:c r="G116" s="377"/>
      <x:c r="H116" s="377"/>
      <x:c r="I116" s="377"/>
      <x:c r="J116" s="377"/>
      <x:c r="K116" s="377"/>
    </x:row>
    <x:row r="117" ht="22" customHeight="1">
      <x:c r="A117" s="377"/>
      <x:c r="B117" s="494" t="n">
        <x:f>IFERROR((93)*STRUCTURE!$C$13/(STRUCTURE!$C$14-1),"")</x:f>
        <x:v>9.393939393939394</x:v>
      </x:c>
      <x:c r="C117" s="495" t="n">
        <x:f>0</x:f>
        <x:v>0</x:v>
      </x:c>
      <x:c r="D117" s="495" t="n">
        <x:f>0</x:f>
        <x:v>0</x:v>
      </x:c>
      <x:c r="E117" s="496" t="n">
        <x:f>0</x:f>
        <x:v>0</x:v>
      </x:c>
      <x:c r="F117" s="377"/>
      <x:c r="G117" s="377"/>
      <x:c r="H117" s="377"/>
      <x:c r="I117" s="377"/>
      <x:c r="J117" s="377"/>
      <x:c r="K117" s="377"/>
    </x:row>
    <x:row r="118" ht="22" customHeight="1">
      <x:c r="A118" s="377"/>
      <x:c r="B118" s="494" t="n">
        <x:f>IFERROR((94)*STRUCTURE!$C$13/(STRUCTURE!$C$14-1),"")</x:f>
        <x:v>9.494949494949495</x:v>
      </x:c>
      <x:c r="C118" s="495" t="n">
        <x:f>0</x:f>
        <x:v>0</x:v>
      </x:c>
      <x:c r="D118" s="495" t="n">
        <x:f>0</x:f>
        <x:v>0</x:v>
      </x:c>
      <x:c r="E118" s="496" t="n">
        <x:f>0</x:f>
        <x:v>0</x:v>
      </x:c>
      <x:c r="F118" s="377"/>
      <x:c r="G118" s="377"/>
      <x:c r="H118" s="377"/>
      <x:c r="I118" s="377"/>
      <x:c r="J118" s="377"/>
      <x:c r="K118" s="377"/>
    </x:row>
    <x:row r="119" ht="22" customHeight="1">
      <x:c r="A119" s="377"/>
      <x:c r="B119" s="494" t="n">
        <x:f>IFERROR((95)*STRUCTURE!$C$13/(STRUCTURE!$C$14-1),"")</x:f>
        <x:v>9.595959595959595</x:v>
      </x:c>
      <x:c r="C119" s="495" t="n">
        <x:f>0</x:f>
        <x:v>0</x:v>
      </x:c>
      <x:c r="D119" s="495" t="n">
        <x:f>0</x:f>
        <x:v>0</x:v>
      </x:c>
      <x:c r="E119" s="496" t="n">
        <x:f>0</x:f>
        <x:v>0</x:v>
      </x:c>
      <x:c r="F119" s="377"/>
      <x:c r="G119" s="377"/>
      <x:c r="H119" s="377"/>
      <x:c r="I119" s="377"/>
      <x:c r="J119" s="377"/>
      <x:c r="K119" s="377"/>
    </x:row>
    <x:row r="120" ht="22" customHeight="1">
      <x:c r="A120" s="377"/>
      <x:c r="B120" s="494" t="n">
        <x:f>IFERROR((96)*STRUCTURE!$C$13/(STRUCTURE!$C$14-1),"")</x:f>
        <x:v>9.696969696969697</x:v>
      </x:c>
      <x:c r="C120" s="495" t="n">
        <x:f>0</x:f>
        <x:v>0</x:v>
      </x:c>
      <x:c r="D120" s="495" t="n">
        <x:f>0</x:f>
        <x:v>0</x:v>
      </x:c>
      <x:c r="E120" s="496" t="n">
        <x:f>0</x:f>
        <x:v>0</x:v>
      </x:c>
      <x:c r="F120" s="377"/>
      <x:c r="G120" s="377"/>
      <x:c r="H120" s="377"/>
      <x:c r="I120" s="377"/>
      <x:c r="J120" s="377"/>
      <x:c r="K120" s="377"/>
    </x:row>
    <x:row r="121" ht="22" customHeight="1">
      <x:c r="A121" s="377"/>
      <x:c r="B121" s="494" t="n">
        <x:f>IFERROR((97)*STRUCTURE!$C$13/(STRUCTURE!$C$14-1),"")</x:f>
        <x:v>9.797979797979798</x:v>
      </x:c>
      <x:c r="C121" s="495" t="n">
        <x:f>0</x:f>
        <x:v>0</x:v>
      </x:c>
      <x:c r="D121" s="495" t="n">
        <x:f>0</x:f>
        <x:v>0</x:v>
      </x:c>
      <x:c r="E121" s="496" t="n">
        <x:f>0</x:f>
        <x:v>0</x:v>
      </x:c>
      <x:c r="F121" s="377"/>
      <x:c r="G121" s="377"/>
      <x:c r="H121" s="377"/>
      <x:c r="I121" s="377"/>
      <x:c r="J121" s="377"/>
      <x:c r="K121" s="377"/>
    </x:row>
    <x:row r="122" ht="22" customHeight="1">
      <x:c r="A122" s="377"/>
      <x:c r="B122" s="494" t="n">
        <x:f>IFERROR((98)*STRUCTURE!$C$13/(STRUCTURE!$C$14-1),"")</x:f>
        <x:v>9.8989898989899</x:v>
      </x:c>
      <x:c r="C122" s="495" t="n">
        <x:f>0</x:f>
        <x:v>0</x:v>
      </x:c>
      <x:c r="D122" s="495" t="n">
        <x:f>0</x:f>
        <x:v>0</x:v>
      </x:c>
      <x:c r="E122" s="496" t="n">
        <x:f>0</x:f>
        <x:v>0</x:v>
      </x:c>
      <x:c r="F122" s="377"/>
      <x:c r="G122" s="377"/>
      <x:c r="H122" s="377"/>
      <x:c r="I122" s="377"/>
      <x:c r="J122" s="377"/>
      <x:c r="K122" s="377"/>
    </x:row>
    <x:row r="123" ht="22" customHeight="1">
      <x:c r="A123" s="377"/>
      <x:c r="B123" s="497" t="n">
        <x:f>IFERROR((99)*STRUCTURE!$C$13/(STRUCTURE!$C$14-1),"")</x:f>
        <x:v>10</x:v>
      </x:c>
      <x:c r="C123" s="498" t="n">
        <x:f>0</x:f>
        <x:v>0</x:v>
      </x:c>
      <x:c r="D123" s="498" t="n">
        <x:f>0</x:f>
        <x:v>0</x:v>
      </x:c>
      <x:c r="E123" s="499" t="n">
        <x:f>0</x:f>
        <x:v>0</x:v>
      </x:c>
      <x:c r="F123" s="377"/>
      <x:c r="G123" s="377"/>
      <x:c r="H123" s="377"/>
      <x:c r="I123" s="377"/>
      <x:c r="J123" s="377"/>
      <x:c r="K123" s="377"/>
    </x:row>
    <x:row r="124" ht="22" customHeight="1">
      <x:c r="A124" s="377"/>
      <x:c r="B124" s="377"/>
      <x:c r="C124" s="377"/>
      <x:c r="D124" s="377"/>
      <x:c r="E124" s="377"/>
      <x:c r="F124" s="377"/>
      <x:c r="G124" s="377"/>
      <x:c r="H124" s="377"/>
      <x:c r="I124" s="377"/>
      <x:c r="J124" s="377"/>
      <x:c r="K124" s="377"/>
    </x:row>
    <x:row r="125" ht="22" customHeight="1">
      <x:c r="A125" s="377"/>
      <x:c r="B125" s="377"/>
      <x:c r="C125" s="377"/>
      <x:c r="D125" s="377"/>
      <x:c r="E125" s="377"/>
      <x:c r="F125" s="377"/>
      <x:c r="G125" s="377"/>
      <x:c r="H125" s="377"/>
      <x:c r="I125" s="377"/>
      <x:c r="J125" s="377"/>
      <x:c r="K125" s="377"/>
    </x:row>
    <x:row r="126" ht="22" customHeight="1">
      <x:c r="A126" s="377"/>
      <x:c r="B126" s="476" t="str">
        <x:v>NOTE : Les colonnes N(x), T(x) et M(x) sont destinées à être remplacées automatiquement par les valeurs calculées par Python. Les graphiques se mettront à jour dès que ces valeurs seront écrites dans le tableau.</x:v>
      </x:c>
      <x:c r="C126" s="477"/>
      <x:c r="D126" s="477"/>
      <x:c r="E126" s="477"/>
      <x:c r="F126" s="477"/>
      <x:c r="G126" s="477"/>
      <x:c r="H126" s="477"/>
      <x:c r="I126" s="477"/>
      <x:c r="J126" s="478"/>
      <x:c r="K126" s="377"/>
    </x:row>
    <x:row r="127" ht="22" customHeight="1">
      <x:c r="A127" s="377"/>
      <x:c r="B127" s="479"/>
      <x:c r="C127" s="480"/>
      <x:c r="D127" s="480"/>
      <x:c r="E127" s="480"/>
      <x:c r="F127" s="480"/>
      <x:c r="G127" s="480"/>
      <x:c r="H127" s="480"/>
      <x:c r="I127" s="480"/>
      <x:c r="J127" s="481"/>
      <x:c r="K127" s="377"/>
    </x:row>
    <x:row r="128" ht="22" customHeight="1">
      <x:c r="A128" s="377"/>
      <x:c r="B128" s="482"/>
      <x:c r="C128" s="483"/>
      <x:c r="D128" s="483"/>
      <x:c r="E128" s="483"/>
      <x:c r="F128" s="483"/>
      <x:c r="G128" s="483"/>
      <x:c r="H128" s="483"/>
      <x:c r="I128" s="483"/>
      <x:c r="J128" s="484"/>
      <x:c r="K128" s="377"/>
    </x:row>
    <x:row r="129" ht="22" customHeight="1">
      <x:c r="A129" s="377"/>
      <x:c r="B129" s="377"/>
      <x:c r="C129" s="377"/>
      <x:c r="D129" s="377"/>
      <x:c r="E129" s="377"/>
      <x:c r="F129" s="377"/>
      <x:c r="G129" s="377"/>
      <x:c r="H129" s="377"/>
      <x:c r="I129" s="377"/>
      <x:c r="J129" s="377"/>
      <x:c r="K129" s="377"/>
    </x:row>
    <x:row r="130" ht="22" customHeight="1">
      <x:c r="A130" s="377"/>
      <x:c r="B130" s="377"/>
      <x:c r="C130" s="377"/>
      <x:c r="D130" s="377"/>
      <x:c r="E130" s="377"/>
      <x:c r="F130" s="377"/>
      <x:c r="G130" s="377"/>
      <x:c r="H130" s="377"/>
      <x:c r="I130" s="377"/>
      <x:c r="J130" s="377"/>
      <x:c r="K130" s="377"/>
    </x:row>
  </x:sheetData>
  <x:mergeCells>
    <x:mergeCell ref="B2:J3"/>
    <x:mergeCell ref="B4:J5"/>
    <x:mergeCell ref="B7:C8"/>
    <x:mergeCell ref="D7:E8"/>
    <x:mergeCell ref="F7:G8"/>
    <x:mergeCell ref="H7:J8"/>
    <x:mergeCell ref="B10:J10"/>
    <x:mergeCell ref="B11:J14"/>
    <x:mergeCell ref="B16:E16"/>
    <x:mergeCell ref="G16:J16"/>
    <x:mergeCell ref="G17:J20"/>
    <x:mergeCell ref="B22:E22"/>
    <x:mergeCell ref="G22:J22"/>
    <x:mergeCell ref="B126:J128"/>
  </x:mergeCells>
  <x:pageMargins left="0.7" right="0.7" top="0.75" bottom="0.75" header="0.3" footer="0.3"/>
  <x:drawing xmlns:r="http://schemas.openxmlformats.org/officeDocument/2006/relationships" r:id="R0ed1e064f2564830"/>
  <x:tableParts count="1">
    <x:tablePart xmlns:r="http://schemas.openxmlformats.org/officeDocument/2006/relationships" r:id="R4b18d26656ee4ff2"/>
  </x:tableParts>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22" customHeight="1">
      <x:c r="A1" s="4"/>
      <x:c r="B1" s="4"/>
      <x:c r="C1" s="4"/>
      <x:c r="D1" s="4"/>
      <x:c r="E1" s="4"/>
      <x:c r="F1" s="4"/>
      <x:c r="G1" s="4"/>
      <x:c r="H1" s="4"/>
      <x:c r="I1" s="4"/>
      <x:c r="J1" s="4"/>
    </x:row>
    <x:row r="2" ht="22" customHeight="1">
      <x:c r="A2" s="4"/>
      <x:c r="B2" s="14" t="str">
        <x:v>PARAMETRES</x:v>
      </x:c>
      <x:c r="C2" s="4"/>
      <x:c r="D2" s="4"/>
      <x:c r="E2" s="4"/>
      <x:c r="F2" s="4"/>
      <x:c r="G2" s="4"/>
      <x:c r="H2" s="4"/>
      <x:c r="I2" s="4"/>
      <x:c r="J2" s="4"/>
    </x:row>
    <x:row r="3" ht="22" customHeight="1">
      <x:c r="A3" s="4"/>
      <x:c r="B3" s="4"/>
      <x:c r="C3" s="4"/>
      <x:c r="D3" s="4"/>
      <x:c r="E3" s="4"/>
      <x:c r="F3" s="4"/>
      <x:c r="G3" s="4"/>
      <x:c r="H3" s="4"/>
      <x:c r="I3" s="4"/>
      <x:c r="J3" s="4"/>
    </x:row>
    <x:row r="4" ht="22" customHeight="1">
      <x:c r="A4" s="4"/>
      <x:c r="B4" s="4"/>
      <x:c r="C4" s="4"/>
      <x:c r="D4" s="4"/>
      <x:c r="E4" s="4"/>
      <x:c r="F4" s="4"/>
      <x:c r="G4" s="4"/>
      <x:c r="H4" s="4"/>
      <x:c r="I4" s="4"/>
      <x:c r="J4" s="4"/>
    </x:row>
    <x:row r="5" ht="22" customHeight="1">
      <x:c r="A5" s="4"/>
      <x:c r="B5" s="24" t="str">
        <x:v>Feuille à compléter dans les prochaines étapes.</x:v>
      </x:c>
      <x:c r="C5" s="4"/>
      <x:c r="D5" s="4"/>
      <x:c r="E5" s="4"/>
      <x:c r="F5" s="4"/>
      <x:c r="G5" s="4"/>
      <x:c r="H5" s="4"/>
      <x:c r="I5" s="4"/>
      <x:c r="J5" s="4"/>
    </x:row>
    <x:row r="6" ht="22" customHeight="1">
      <x:c r="A6" s="4"/>
      <x:c r="B6" s="4"/>
      <x:c r="C6" s="4"/>
      <x:c r="D6" s="4"/>
      <x:c r="E6" s="4"/>
      <x:c r="F6" s="4"/>
      <x:c r="G6" s="4"/>
      <x:c r="H6" s="4"/>
      <x:c r="I6" s="4"/>
      <x:c r="J6" s="4"/>
    </x:row>
    <x:row r="7" ht="22" customHeight="1">
      <x:c r="A7" s="4"/>
      <x:c r="B7" s="4"/>
      <x:c r="C7" s="4"/>
      <x:c r="D7" s="4"/>
      <x:c r="E7" s="4"/>
      <x:c r="F7" s="4"/>
      <x:c r="G7" s="4"/>
      <x:c r="H7" s="4"/>
      <x:c r="I7" s="4"/>
      <x:c r="J7" s="4"/>
    </x:row>
    <x:row r="8" ht="22" customHeight="1">
      <x:c r="A8" s="4"/>
      <x:c r="B8" s="4"/>
      <x:c r="C8" s="4"/>
      <x:c r="D8" s="4"/>
      <x:c r="E8" s="4"/>
      <x:c r="F8" s="4"/>
      <x:c r="G8" s="4"/>
      <x:c r="H8" s="4"/>
      <x:c r="I8" s="4"/>
      <x:c r="J8" s="4"/>
    </x:row>
    <x:row r="9" ht="22" customHeight="1">
      <x:c r="A9" s="4"/>
      <x:c r="B9" s="4"/>
      <x:c r="C9" s="4"/>
      <x:c r="D9" s="4"/>
      <x:c r="E9" s="4"/>
      <x:c r="F9" s="4"/>
      <x:c r="G9" s="4"/>
      <x:c r="H9" s="4"/>
      <x:c r="I9" s="4"/>
      <x:c r="J9" s="4"/>
    </x:row>
    <x:row r="10" ht="22" customHeight="1">
      <x:c r="A10" s="4"/>
      <x:c r="B10" s="4"/>
      <x:c r="C10" s="4"/>
      <x:c r="D10" s="4"/>
      <x:c r="E10" s="4"/>
      <x:c r="F10" s="4"/>
      <x:c r="G10" s="4"/>
      <x:c r="H10" s="4"/>
      <x:c r="I10" s="4"/>
      <x:c r="J10" s="4"/>
    </x:row>
    <x:row r="11" ht="22" customHeight="1">
      <x:c r="A11" s="4"/>
      <x:c r="B11" s="4"/>
      <x:c r="C11" s="4"/>
      <x:c r="D11" s="4"/>
      <x:c r="E11" s="4"/>
      <x:c r="F11" s="4"/>
      <x:c r="G11" s="4"/>
      <x:c r="H11" s="4"/>
      <x:c r="I11" s="4"/>
      <x:c r="J11" s="4"/>
    </x:row>
    <x:row r="12" ht="22" customHeight="1">
      <x:c r="A12" s="4"/>
      <x:c r="B12" s="4"/>
      <x:c r="C12" s="4"/>
      <x:c r="D12" s="4"/>
      <x:c r="E12" s="4"/>
      <x:c r="F12" s="4"/>
      <x:c r="G12" s="4"/>
      <x:c r="H12" s="4"/>
      <x:c r="I12" s="4"/>
      <x:c r="J12" s="4"/>
    </x:row>
    <x:row r="13" ht="22" customHeight="1">
      <x:c r="A13" s="4"/>
      <x:c r="B13" s="4"/>
      <x:c r="C13" s="4"/>
      <x:c r="D13" s="4"/>
      <x:c r="E13" s="4"/>
      <x:c r="F13" s="4"/>
      <x:c r="G13" s="4"/>
      <x:c r="H13" s="4"/>
      <x:c r="I13" s="4"/>
      <x:c r="J13" s="4"/>
    </x:row>
    <x:row r="14" ht="22" customHeight="1">
      <x:c r="A14" s="4"/>
      <x:c r="B14" s="4"/>
      <x:c r="C14" s="4"/>
      <x:c r="D14" s="4"/>
      <x:c r="E14" s="4"/>
      <x:c r="F14" s="4"/>
      <x:c r="G14" s="4"/>
      <x:c r="H14" s="4"/>
      <x:c r="I14" s="4"/>
      <x:c r="J14" s="4"/>
    </x:row>
    <x:row r="15" ht="22" customHeight="1">
      <x:c r="A15" s="4"/>
      <x:c r="B15" s="4"/>
      <x:c r="C15" s="4"/>
      <x:c r="D15" s="4"/>
      <x:c r="E15" s="4"/>
      <x:c r="F15" s="4"/>
      <x:c r="G15" s="4"/>
      <x:c r="H15" s="4"/>
      <x:c r="I15" s="4"/>
      <x:c r="J15" s="4"/>
    </x:row>
    <x:row r="16" ht="22" customHeight="1">
      <x:c r="A16" s="4"/>
      <x:c r="B16" s="4"/>
      <x:c r="C16" s="4"/>
      <x:c r="D16" s="4"/>
      <x:c r="E16" s="4"/>
      <x:c r="F16" s="4"/>
      <x:c r="G16" s="4"/>
      <x:c r="H16" s="4"/>
      <x:c r="I16" s="4"/>
      <x:c r="J16" s="4"/>
    </x:row>
    <x:row r="17" ht="22" customHeight="1">
      <x:c r="A17" s="4"/>
      <x:c r="B17" s="4"/>
      <x:c r="C17" s="4"/>
      <x:c r="D17" s="4"/>
      <x:c r="E17" s="4"/>
      <x:c r="F17" s="4"/>
      <x:c r="G17" s="4"/>
      <x:c r="H17" s="4"/>
      <x:c r="I17" s="4"/>
      <x:c r="J17" s="4"/>
    </x:row>
    <x:row r="18" ht="22" customHeight="1">
      <x:c r="A18" s="4"/>
      <x:c r="B18" s="4"/>
      <x:c r="C18" s="4"/>
      <x:c r="D18" s="4"/>
      <x:c r="E18" s="4"/>
      <x:c r="F18" s="4"/>
      <x:c r="G18" s="4"/>
      <x:c r="H18" s="4"/>
      <x:c r="I18" s="4"/>
      <x:c r="J18" s="4"/>
    </x:row>
    <x:row r="19" ht="22" customHeight="1">
      <x:c r="A19" s="4"/>
      <x:c r="B19" s="4"/>
      <x:c r="C19" s="4"/>
      <x:c r="D19" s="4"/>
      <x:c r="E19" s="4"/>
      <x:c r="F19" s="4"/>
      <x:c r="G19" s="4"/>
      <x:c r="H19" s="4"/>
      <x:c r="I19" s="4"/>
      <x:c r="J19" s="4"/>
    </x:row>
    <x:row r="20" ht="22" customHeight="1">
      <x:c r="A20" s="4"/>
      <x:c r="B20" s="4"/>
      <x:c r="C20" s="4"/>
      <x:c r="D20" s="4"/>
      <x:c r="E20" s="4"/>
      <x:c r="F20" s="4"/>
      <x:c r="G20" s="4"/>
      <x:c r="H20" s="4"/>
      <x:c r="I20" s="4"/>
      <x:c r="J20" s="4"/>
    </x:row>
  </x:sheetData>
  <x:mergeCells>
    <x:mergeCell ref="B2:I3"/>
    <x:mergeCell ref="B5:I6"/>
  </x:mergeCells>
  <x:pageMargins left="0.7" right="0.7" top="0.75" bottom="0.75" header="0.3" footer="0.3"/>
</x:worksheet>
</file>